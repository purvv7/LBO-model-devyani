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Assumptions" sheetId="2" state="visible" r:id="rId4"/>
    <sheet name="Income Statement" sheetId="3" state="visible" r:id="rId5"/>
    <sheet name="Cash Flow" sheetId="4" state="visible" r:id="rId6"/>
    <sheet name="Debt Schedule" sheetId="5" state="visible" r:id="rId7"/>
    <sheet name="Returns" sheetId="6" state="visible" r:id="rId8"/>
    <sheet name="Sensitivity"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<sst xmlns="http://schemas.openxmlformats.org/spreadsheetml/2006/main" count="224" uniqueCount="194">
  <si>
    <t xml:space="preserve">Devyani International: LBO Analysis</t>
  </si>
  <si>
    <t xml:space="preserve">Built by Purv D  |  BMS Finance, St. Andrew's College</t>
  </si>
  <si>
    <t xml:space="preserve">FY2024 base   |   5 year hold   |   Exit FY2029</t>
  </si>
  <si>
    <t xml:space="preserve">Entry EV</t>
  </si>
  <si>
    <t xml:space="preserve">Equity Check</t>
  </si>
  <si>
    <t xml:space="preserve">Leverage</t>
  </si>
  <si>
    <t xml:space="preserve">Target IRR</t>
  </si>
  <si>
    <t xml:space="preserve">Hold Period</t>
  </si>
  <si>
    <t xml:space="preserve">₹ 8,400 Cr</t>
  </si>
  <si>
    <t xml:space="preserve">₹ 3,360 Cr</t>
  </si>
  <si>
    <t xml:space="preserve">4.0x Debt/EBITDA</t>
  </si>
  <si>
    <t xml:space="preserve">&gt; 20%</t>
  </si>
  <si>
    <t xml:space="preserve">5 Years</t>
  </si>
  <si>
    <t xml:space="preserve">WHAT'S IN THIS MODEL</t>
  </si>
  <si>
    <t xml:space="preserve">1. Assumptions</t>
  </si>
  <si>
    <t xml:space="preserve">All the inputs, revenue assumptions, debt structure, entry and exit multiples</t>
  </si>
  <si>
    <t xml:space="preserve">2. Income Statement</t>
  </si>
  <si>
    <t xml:space="preserve">Revenue down to net income, year by year</t>
  </si>
  <si>
    <t xml:space="preserve">3. Cash Flow</t>
  </si>
  <si>
    <t xml:space="preserve">Free cash flow build showing what the business actually generates after reinvestment</t>
  </si>
  <si>
    <t xml:space="preserve">4. Debt Schedule</t>
  </si>
  <si>
    <t xml:space="preserve">How the debt gets paid down each year, including the cash sweep</t>
  </si>
  <si>
    <t xml:space="preserve">5. Returns</t>
  </si>
  <si>
    <t xml:space="preserve">IRR, MOIC, and how the equity value was calculated</t>
  </si>
  <si>
    <t xml:space="preserve">6. Sensitivity</t>
  </si>
  <si>
    <t xml:space="preserve">What the IRR looks like if you change the entry multiple, exit multiple, margins, or growth</t>
  </si>
  <si>
    <t xml:space="preserve">Purv D  |  purvdodia@gmail.com  |  BMS Finance, St. Andrew's College Mumbai</t>
  </si>
  <si>
    <t xml:space="preserve">Assumptions: Devyani International LBO</t>
  </si>
  <si>
    <t xml:space="preserve">Rationale / Source</t>
  </si>
  <si>
    <t xml:space="preserve">Blue cells are inputs you can change. Black cells are formulas. Green cells pull from another sheet.</t>
  </si>
  <si>
    <t xml:space="preserve">Company Background</t>
  </si>
  <si>
    <t xml:space="preserve">Stock / Exchange</t>
  </si>
  <si>
    <t xml:space="preserve">DEVYANI / NSE</t>
  </si>
  <si>
    <t xml:space="preserve">What the business does</t>
  </si>
  <si>
    <t xml:space="preserve">Runs KFC, Pizza Hut and Costa Coffee stores across India</t>
  </si>
  <si>
    <t xml:space="preserve">Year these actuals are from</t>
  </si>
  <si>
    <t xml:space="preserve">FY2024</t>
  </si>
  <si>
    <t xml:space="preserve">Revenue (₹ Cr)</t>
  </si>
  <si>
    <t xml:space="preserve">From the FY2024 annual report</t>
  </si>
  <si>
    <t xml:space="preserve">EBITDA (₹ Cr)</t>
  </si>
  <si>
    <t xml:space="preserve">EBITDA Margin</t>
  </si>
  <si>
    <t xml:space="preserve">EBITDA divided by revenue</t>
  </si>
  <si>
    <t xml:space="preserve">Net Debt (₹ Cr)</t>
  </si>
  <si>
    <t xml:space="preserve">Operating Assumptions, FY2025 to FY2029</t>
  </si>
  <si>
    <t xml:space="preserve">Assumption</t>
  </si>
  <si>
    <t xml:space="preserve">FY2025E</t>
  </si>
  <si>
    <t xml:space="preserve">FY2026E</t>
  </si>
  <si>
    <t xml:space="preserve">FY2027E</t>
  </si>
  <si>
    <t xml:space="preserve">FY2028E</t>
  </si>
  <si>
    <t xml:space="preserve">FY2029E</t>
  </si>
  <si>
    <t xml:space="preserve">How fast revenue grows each year</t>
  </si>
  <si>
    <t xml:space="preserve">FY25 and FY26 growth of 9 to 11% reflects Devyani's ongoing store rollout (around 250 to 300 net additions per year historically per company filings). Growth tapers to 9% by FY29 as the store base matures and same store sales normalize toward category growth.</t>
  </si>
  <si>
    <t xml:space="preserve">EBITDA as a share of revenue</t>
  </si>
  <si>
    <t xml:space="preserve">Margin expands from the FY24 actual of 20.2% to 25.0% by FY29, about 95bps per year, on operating leverage from store maturity, delivery and digital mix shift, and overhead absorption as scale increases. This is the single most aggressive assumption in the model, flagged here because a buyer would diligence it hardest. The sensitivity table below stress tests IRR at 19 to 29% margin to show how much of the return depends on this.</t>
  </si>
  <si>
    <t xml:space="preserve">Depreciation as a share of revenue</t>
  </si>
  <si>
    <t xml:space="preserve">D&amp;A as a percent of revenue drifts down slightly as the fixed asset base grows slower than revenue post store maturity.</t>
  </si>
  <si>
    <t xml:space="preserve">Capital expenditure as a share of revenue</t>
  </si>
  <si>
    <t xml:space="preserve">CapEx intensity falls from 5.5% to 4.5% of revenue as new store capex, which is higher intensity, gives way to maintenance capex, which is lower intensity, in a maturing store base.</t>
  </si>
  <si>
    <t xml:space="preserve">Working capital movement as a share of revenue growth</t>
  </si>
  <si>
    <t xml:space="preserve">Working capital consumption is assumed proportional to revenue growth, tapering slightly as the business scales. This is a standard simplification. No line item AR, AP, or inventory build was modeled.</t>
  </si>
  <si>
    <t xml:space="preserve">Corporate tax rate</t>
  </si>
  <si>
    <t xml:space="preserve">Indian corporate tax rate for a domestic company under the standard regime.</t>
  </si>
  <si>
    <t xml:space="preserve">Deal Structure</t>
  </si>
  <si>
    <t xml:space="preserve">Year we're buying the business</t>
  </si>
  <si>
    <t xml:space="preserve">What multiple of EBITDA we're paying</t>
  </si>
  <si>
    <t xml:space="preserve">10.0x EBITDA entry multiple approximates where Devyani has historically traded on EV/EBITDA and is used as the base case. See the Sensitivity tab for the deal IRR across 7.0x to 12.0x entry.</t>
  </si>
  <si>
    <t xml:space="preserve">Total price paid (₹ Cr)</t>
  </si>
  <si>
    <t xml:space="preserve">How much comes from equity (%)</t>
  </si>
  <si>
    <t xml:space="preserve">40% equity and 60% debt, or 4.0x Debt/EBITDA leverage, sits within the typical mid market PE range of 3x to 5x for a cash generative QSR franchisee. High enough to be a real LBO, not so high it breaches interest coverage in year one (checked in the Debt Schedule tab).</t>
  </si>
  <si>
    <t xml:space="preserve">How much comes from senior bank debt (%)</t>
  </si>
  <si>
    <t xml:space="preserve">How much comes from subordinated debt (%)</t>
  </si>
  <si>
    <t xml:space="preserve">Equity cheque (₹ Cr)</t>
  </si>
  <si>
    <t xml:space="preserve">Senior bank debt (₹ Cr)</t>
  </si>
  <si>
    <t xml:space="preserve">Subordinated debt (₹ Cr)</t>
  </si>
  <si>
    <t xml:space="preserve">Total debt raised (₹ Cr)</t>
  </si>
  <si>
    <t xml:space="preserve">Senior debt interest rate</t>
  </si>
  <si>
    <t xml:space="preserve">Senior bank debt priced near INR corporate lending benchmarks for a sub investment grade LBO borrower.</t>
  </si>
  <si>
    <t xml:space="preserve">Sub debt interest rate</t>
  </si>
  <si>
    <t xml:space="preserve">Subordinated debt carries a 300bps premium to senior, a standard subordination premium. Principal is repaid entirely at exit (bullet structure) rather than amortized. This is intentional, since senior debt absorbs all of the cash sweep and sub holders are compensated for that with the higher rate.</t>
  </si>
  <si>
    <t xml:space="preserve">How much senior debt gets repaid each year</t>
  </si>
  <si>
    <t xml:space="preserve">10% mandatory annual amortization on senior debt, implying a 10 year notional maturity profile, with any additional free cash flow swept to senior debt first since it is cheaper and has amortization covenants.</t>
  </si>
  <si>
    <t xml:space="preserve">Year we sell the business</t>
  </si>
  <si>
    <t xml:space="preserve">What multiple of EBITDA we sell at</t>
  </si>
  <si>
    <t xml:space="preserve">Exit multiple held flat at entry, 10.0x, as the base case. The more common convention is to assume multiple contraction at exit, so flat multiple is the conservative to neutral case here. The Sensitivity tab shows IRR from 7.0x to 12.0x exit.</t>
  </si>
  <si>
    <t xml:space="preserve">Income Statement (₹ Crore)</t>
  </si>
  <si>
    <t xml:space="preserve">Line Item</t>
  </si>
  <si>
    <t xml:space="preserve">How it's built</t>
  </si>
  <si>
    <t xml:space="preserve">FY2024A</t>
  </si>
  <si>
    <t xml:space="preserve">Revenue</t>
  </si>
  <si>
    <t xml:space="preserve">Last year × (1 + growth)</t>
  </si>
  <si>
    <t xml:space="preserve">  YoY Growth (%)</t>
  </si>
  <si>
    <t xml:space="preserve">%</t>
  </si>
  <si>
    <t xml:space="preserve">EBITDA</t>
  </si>
  <si>
    <t xml:space="preserve">Revenue × margin %</t>
  </si>
  <si>
    <t xml:space="preserve">  EBITDA Margin (%)</t>
  </si>
  <si>
    <t xml:space="preserve">  D&amp;A</t>
  </si>
  <si>
    <t xml:space="preserve">Revenue × D&amp;A %</t>
  </si>
  <si>
    <t xml:space="preserve">EBIT</t>
  </si>
  <si>
    <t xml:space="preserve">EBITDA minus D&amp;A</t>
  </si>
  <si>
    <t xml:space="preserve">  Interest Expense</t>
  </si>
  <si>
    <t xml:space="preserve">From debt schedule</t>
  </si>
  <si>
    <t xml:space="preserve">EBT</t>
  </si>
  <si>
    <t xml:space="preserve">EBIT minus interest</t>
  </si>
  <si>
    <t xml:space="preserve">  Taxes</t>
  </si>
  <si>
    <t xml:space="preserve">Tax only if profit is positive</t>
  </si>
  <si>
    <t xml:space="preserve">Net Income</t>
  </si>
  <si>
    <t xml:space="preserve">EBT minus taxes</t>
  </si>
  <si>
    <t xml:space="preserve">Cash Flow Statement (₹ Crore)</t>
  </si>
  <si>
    <t xml:space="preserve">Pulled from income statement</t>
  </si>
  <si>
    <t xml:space="preserve">  + D&amp;A</t>
  </si>
  <si>
    <t xml:space="preserve">Added back, not a real cash cost</t>
  </si>
  <si>
    <t xml:space="preserve">  Less CapEx</t>
  </si>
  <si>
    <t xml:space="preserve">Revenue × capex %</t>
  </si>
  <si>
    <t xml:space="preserve">  Less Change in Working Capital</t>
  </si>
  <si>
    <t xml:space="preserve">Revenue growth × NWC %</t>
  </si>
  <si>
    <t xml:space="preserve">Free Cash Flow</t>
  </si>
  <si>
    <t xml:space="preserve">Everything above added up</t>
  </si>
  <si>
    <t xml:space="preserve">  Less Mandatory Debt Repayment</t>
  </si>
  <si>
    <t xml:space="preserve">Pulled from debt schedule</t>
  </si>
  <si>
    <t xml:space="preserve">Cash Available for Sweep</t>
  </si>
  <si>
    <t xml:space="preserve">What's left after mandatory repayment</t>
  </si>
  <si>
    <t xml:space="preserve">Debt Schedule (₹ Crore)</t>
  </si>
  <si>
    <t xml:space="preserve">Senior Debt  (7.5% per year)</t>
  </si>
  <si>
    <t xml:space="preserve">Opening balance</t>
  </si>
  <si>
    <t xml:space="preserve">  Scheduled repayment (10% of original each year)</t>
  </si>
  <si>
    <t xml:space="preserve">  Extra repayment from spare cash</t>
  </si>
  <si>
    <t xml:space="preserve">Closing balance</t>
  </si>
  <si>
    <t xml:space="preserve">Interest charge for the year</t>
  </si>
  <si>
    <t xml:space="preserve">Subordinated Debt  (10.5% per year)</t>
  </si>
  <si>
    <t xml:space="preserve">  Scheduled repayment</t>
  </si>
  <si>
    <t xml:space="preserve">Total</t>
  </si>
  <si>
    <t xml:space="preserve">Total debt at year end</t>
  </si>
  <si>
    <t xml:space="preserve">Total interest paid in the year</t>
  </si>
  <si>
    <t xml:space="preserve">Returns: IRR and MOIC</t>
  </si>
  <si>
    <t xml:space="preserve">Year 0 (Entry)</t>
  </si>
  <si>
    <t xml:space="preserve">FY2029E (Exit)</t>
  </si>
  <si>
    <t xml:space="preserve">Exit Valuation</t>
  </si>
  <si>
    <t xml:space="preserve">EBITDA in exit year</t>
  </si>
  <si>
    <t xml:space="preserve">Exit multiple (times EBITDA)</t>
  </si>
  <si>
    <t xml:space="preserve">Enterprise value at exit</t>
  </si>
  <si>
    <t xml:space="preserve">Debt still outstanding at exit</t>
  </si>
  <si>
    <t xml:space="preserve">What equity is worth at exit</t>
  </si>
  <si>
    <t xml:space="preserve">Cash flows used for IRR</t>
  </si>
  <si>
    <t xml:space="preserve">Equity in / equity out</t>
  </si>
  <si>
    <t xml:space="preserve">Returns</t>
  </si>
  <si>
    <t xml:space="preserve">IRR</t>
  </si>
  <si>
    <t xml:space="preserve">MOIC</t>
  </si>
  <si>
    <t xml:space="preserve">What good looks like</t>
  </si>
  <si>
    <t xml:space="preserve">IRR &gt; 25%</t>
  </si>
  <si>
    <t xml:space="preserve">Top quartile PE return</t>
  </si>
  <si>
    <t xml:space="preserve">IRR 20% to 25%</t>
  </si>
  <si>
    <t xml:space="preserve">Clears most PE hurdle rates</t>
  </si>
  <si>
    <t xml:space="preserve">IRR 15% to 20%</t>
  </si>
  <si>
    <t xml:space="preserve">Borderline, most funds would pass</t>
  </si>
  <si>
    <t xml:space="preserve">IRR &lt; 15%</t>
  </si>
  <si>
    <t xml:space="preserve">Below the minimum threshold</t>
  </si>
  <si>
    <t xml:space="preserve">MOIC &gt; 3.0x</t>
  </si>
  <si>
    <t xml:space="preserve">Strong return over 5 years</t>
  </si>
  <si>
    <t xml:space="preserve">MOIC 2.0x to 3.0x</t>
  </si>
  <si>
    <t xml:space="preserve">Where most deals land</t>
  </si>
  <si>
    <t xml:space="preserve">MOIC &lt; 2.0x</t>
  </si>
  <si>
    <t xml:space="preserve">Below what PE funds need</t>
  </si>
  <si>
    <t xml:space="preserve">Sensitivity: IRR across different entry and exit scenarios</t>
  </si>
  <si>
    <t xml:space="preserve">Each cell shows the IRR if you bought at that column multiple and sold at that row multiple. Green means the deal works. Red means it doesn't.</t>
  </si>
  <si>
    <t xml:space="preserve">Exit Multiple \ Entry →</t>
  </si>
  <si>
    <t xml:space="preserve">7.0x</t>
  </si>
  <si>
    <t xml:space="preserve">8.0x</t>
  </si>
  <si>
    <t xml:space="preserve">9.0x</t>
  </si>
  <si>
    <t xml:space="preserve">10.0x</t>
  </si>
  <si>
    <t xml:space="preserve">11.0x</t>
  </si>
  <si>
    <t xml:space="preserve">12.0x</t>
  </si>
  <si>
    <t xml:space="preserve">Colour guide</t>
  </si>
  <si>
    <t xml:space="preserve">  Dark Green</t>
  </si>
  <si>
    <t xml:space="preserve">IRR above 25%</t>
  </si>
  <si>
    <t xml:space="preserve">  Light Green</t>
  </si>
  <si>
    <t xml:space="preserve">IRR between 20% and 25%, clears the hurdle</t>
  </si>
  <si>
    <t xml:space="preserve">  Amber</t>
  </si>
  <si>
    <t xml:space="preserve">IRR between 15% and 20%, weak but not dead</t>
  </si>
  <si>
    <t xml:space="preserve">  Red</t>
  </si>
  <si>
    <t xml:space="preserve">IRR below 15%, deal doesn't work</t>
  </si>
  <si>
    <t xml:space="preserve">Sensitivity: IRR across different margin and growth assumptions</t>
  </si>
  <si>
    <t xml:space="preserve">EBITDA
Margin →</t>
  </si>
  <si>
    <t xml:space="preserve">6%</t>
  </si>
  <si>
    <t xml:space="preserve">7%</t>
  </si>
  <si>
    <t xml:space="preserve">8%</t>
  </si>
  <si>
    <t xml:space="preserve">9%</t>
  </si>
  <si>
    <t xml:space="preserve">10%</t>
  </si>
  <si>
    <t xml:space="preserve">11%</t>
  </si>
  <si>
    <t xml:space="preserve">19%</t>
  </si>
  <si>
    <t xml:space="preserve">21%</t>
  </si>
  <si>
    <t xml:space="preserve">23%</t>
  </si>
  <si>
    <t xml:space="preserve">25%</t>
  </si>
  <si>
    <t xml:space="preserve">27%</t>
  </si>
  <si>
    <t xml:space="preserve">29%</t>
  </si>
</sst>
</file>

<file path=xl/styles.xml><?xml version="1.0" encoding="utf-8"?>
<styleSheet xmlns="http://schemas.openxmlformats.org/spreadsheetml/2006/main">
  <numFmts count="5">
    <numFmt numFmtId="164" formatCode="General"/>
    <numFmt numFmtId="165" formatCode="#,##0;\(#,##0\);\-"/>
    <numFmt numFmtId="166" formatCode="0.0%;\(0.0%\);\-"/>
    <numFmt numFmtId="167" formatCode="0.0\x"/>
    <numFmt numFmtId="168" formatCode="0.00\x"/>
  </numFmts>
  <fonts count="26">
    <font>
      <sz val="11"/>
      <color theme="1"/>
      <name val="Calibri"/>
      <family val="2"/>
      <charset val="1"/>
    </font>
    <font>
      <sz val="10"/>
      <name val="Arial"/>
      <family val="0"/>
    </font>
    <font>
      <sz val="10"/>
      <name val="Arial"/>
      <family val="0"/>
    </font>
    <font>
      <sz val="10"/>
      <name val="Arial"/>
      <family val="0"/>
    </font>
    <font>
      <b val="true"/>
      <sz val="28"/>
      <color rgb="FFFFFFFF"/>
      <name val="Arial"/>
      <family val="0"/>
      <charset val="1"/>
    </font>
    <font>
      <sz val="14"/>
      <color rgb="FFF0D080"/>
      <name val="Arial"/>
      <family val="0"/>
      <charset val="1"/>
    </font>
    <font>
      <sz val="11"/>
      <color rgb="FF667085"/>
      <name val="Arial"/>
      <family val="0"/>
      <charset val="1"/>
    </font>
    <font>
      <b val="true"/>
      <sz val="9"/>
      <color rgb="FFC9A84C"/>
      <name val="Arial"/>
      <family val="0"/>
      <charset val="1"/>
    </font>
    <font>
      <b val="true"/>
      <sz val="12"/>
      <color rgb="FFFFFFFF"/>
      <name val="Arial"/>
      <family val="0"/>
      <charset val="1"/>
    </font>
    <font>
      <b val="true"/>
      <sz val="10"/>
      <color rgb="FFC9A84C"/>
      <name val="Arial"/>
      <family val="0"/>
      <charset val="1"/>
    </font>
    <font>
      <b val="true"/>
      <sz val="10"/>
      <color rgb="FFFFFFFF"/>
      <name val="Arial"/>
      <family val="0"/>
      <charset val="1"/>
    </font>
    <font>
      <sz val="10"/>
      <color rgb="FF667085"/>
      <name val="Arial"/>
      <family val="0"/>
      <charset val="1"/>
    </font>
    <font>
      <i val="true"/>
      <sz val="9"/>
      <color rgb="FF667085"/>
      <name val="Arial"/>
      <family val="0"/>
      <charset val="1"/>
    </font>
    <font>
      <sz val="10"/>
      <color rgb="FF000000"/>
      <name val="Arial"/>
      <family val="0"/>
      <charset val="1"/>
    </font>
    <font>
      <sz val="10"/>
      <color rgb="FF0000FF"/>
      <name val="Arial"/>
      <family val="0"/>
      <charset val="1"/>
    </font>
    <font>
      <i val="true"/>
      <sz val="8"/>
      <color rgb="FF667085"/>
      <name val="Arial"/>
      <family val="0"/>
      <charset val="1"/>
    </font>
    <font>
      <b val="true"/>
      <sz val="9"/>
      <color rgb="FFFFFFFF"/>
      <name val="Arial"/>
      <family val="0"/>
      <charset val="1"/>
    </font>
    <font>
      <b val="true"/>
      <sz val="10"/>
      <color rgb="FF000000"/>
      <name val="Arial"/>
      <family val="0"/>
      <charset val="1"/>
    </font>
    <font>
      <sz val="10"/>
      <color rgb="FF008000"/>
      <name val="Arial"/>
      <family val="0"/>
      <charset val="1"/>
    </font>
    <font>
      <b val="true"/>
      <sz val="14"/>
      <color rgb="FF166534"/>
      <name val="Arial"/>
      <family val="0"/>
      <charset val="1"/>
    </font>
    <font>
      <b val="true"/>
      <sz val="10"/>
      <name val="Arial"/>
      <family val="0"/>
      <charset val="1"/>
    </font>
    <font>
      <sz val="10"/>
      <name val="Arial"/>
      <family val="0"/>
      <charset val="1"/>
    </font>
    <font>
      <b val="true"/>
      <sz val="10"/>
      <color rgb="FF166534"/>
      <name val="Arial"/>
      <family val="0"/>
      <charset val="1"/>
    </font>
    <font>
      <b val="true"/>
      <sz val="10"/>
      <color rgb="FF92400E"/>
      <name val="Arial"/>
      <family val="0"/>
      <charset val="1"/>
    </font>
    <font>
      <b val="true"/>
      <sz val="10"/>
      <color rgb="FFC0392B"/>
      <name val="Arial"/>
      <family val="0"/>
      <charset val="1"/>
    </font>
    <font>
      <b val="true"/>
      <sz val="11"/>
      <color rgb="FFFFFFFF"/>
      <name val="Arial"/>
      <family val="0"/>
      <charset val="1"/>
    </font>
  </fonts>
  <fills count="11">
    <fill>
      <patternFill patternType="none"/>
    </fill>
    <fill>
      <patternFill patternType="gray125"/>
    </fill>
    <fill>
      <patternFill patternType="solid">
        <fgColor rgb="FF0D1B2A"/>
        <bgColor rgb="FF1B2A4A"/>
      </patternFill>
    </fill>
    <fill>
      <patternFill patternType="solid">
        <fgColor rgb="FFC9A84C"/>
        <bgColor rgb="FFFF9900"/>
      </patternFill>
    </fill>
    <fill>
      <patternFill patternType="solid">
        <fgColor rgb="FFF2F4F7"/>
        <bgColor rgb="FFFFFFFF"/>
      </patternFill>
    </fill>
    <fill>
      <patternFill patternType="solid">
        <fgColor rgb="FF1B2A4A"/>
        <bgColor rgb="FF0D1B2A"/>
      </patternFill>
    </fill>
    <fill>
      <patternFill patternType="solid">
        <fgColor rgb="FFD0D5DD"/>
        <bgColor rgb="FFC0C0C0"/>
      </patternFill>
    </fill>
    <fill>
      <patternFill patternType="solid">
        <fgColor rgb="FFFEF3C7"/>
        <bgColor rgb="FFFEE2E2"/>
      </patternFill>
    </fill>
    <fill>
      <patternFill patternType="solid">
        <fgColor rgb="FFDCFCE7"/>
        <bgColor rgb="FFCCFFCC"/>
      </patternFill>
    </fill>
    <fill>
      <patternFill patternType="solid">
        <fgColor rgb="FFFEE2E2"/>
        <bgColor rgb="FFFEF3C7"/>
      </patternFill>
    </fill>
    <fill>
      <patternFill patternType="solid">
        <fgColor rgb="FF166534"/>
        <bgColor rgb="FF008000"/>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2" borderId="0" xfId="0" applyFont="true" applyBorder="true" applyAlignment="true" applyProtection="false">
      <alignment horizontal="left" vertical="center" textRotation="0" wrapText="false" indent="0" shrinkToFit="false"/>
      <protection locked="true" hidden="false"/>
    </xf>
    <xf numFmtId="164" fontId="6" fillId="2" borderId="0" xfId="0" applyFont="true" applyBorder="true" applyAlignment="true" applyProtection="false">
      <alignment horizontal="left" vertical="center" textRotation="0" wrapText="false" indent="0" shrinkToFit="false"/>
      <protection locked="true" hidden="false"/>
    </xf>
    <xf numFmtId="164" fontId="7" fillId="2" borderId="0" xfId="0" applyFont="true" applyBorder="true" applyAlignment="true" applyProtection="false">
      <alignment horizontal="center" vertical="bottom" textRotation="0" wrapText="false" indent="0" shrinkToFit="false"/>
      <protection locked="true" hidden="false"/>
    </xf>
    <xf numFmtId="164" fontId="8" fillId="2" borderId="0" xfId="0" applyFont="true" applyBorder="true" applyAlignment="true" applyProtection="false">
      <alignment horizontal="center" vertical="bottom" textRotation="0" wrapText="false" indent="0" shrinkToFit="false"/>
      <protection locked="true" hidden="false"/>
    </xf>
    <xf numFmtId="164" fontId="9" fillId="2" borderId="0" xfId="0" applyFont="true" applyBorder="true" applyAlignment="true" applyProtection="false">
      <alignment horizontal="left" vertical="bottom" textRotation="0" wrapText="false" indent="0" shrinkToFit="false"/>
      <protection locked="true" hidden="false"/>
    </xf>
    <xf numFmtId="164" fontId="10" fillId="2" borderId="0" xfId="0" applyFont="true" applyBorder="false" applyAlignment="true" applyProtection="false">
      <alignment horizontal="left" vertical="bottom" textRotation="0" wrapText="false" indent="0" shrinkToFit="false"/>
      <protection locked="true" hidden="false"/>
    </xf>
    <xf numFmtId="164" fontId="11" fillId="2" borderId="0" xfId="0" applyFont="true" applyBorder="false" applyAlignment="true" applyProtection="false">
      <alignment horizontal="general" vertical="bottom" textRotation="0" wrapText="false" indent="0" shrinkToFit="false"/>
      <protection locked="true" hidden="false"/>
    </xf>
    <xf numFmtId="164" fontId="12" fillId="2" borderId="0" xfId="0" applyFont="true" applyBorder="true" applyAlignment="true" applyProtection="false">
      <alignment horizontal="left" vertical="bottom" textRotation="0" wrapText="false" indent="0" shrinkToFit="false"/>
      <protection locked="true" hidden="false"/>
    </xf>
    <xf numFmtId="164" fontId="8" fillId="2" borderId="0" xfId="0" applyFont="true" applyBorder="true" applyAlignment="true" applyProtection="false">
      <alignment horizontal="center" vertical="center" textRotation="0" wrapText="tru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12" fillId="4" borderId="0" xfId="0" applyFont="true" applyBorder="true" applyAlignment="true" applyProtection="false">
      <alignment horizontal="left" vertical="center" textRotation="0" wrapText="false" indent="1" shrinkToFit="false"/>
      <protection locked="true" hidden="false"/>
    </xf>
    <xf numFmtId="164" fontId="9" fillId="5" borderId="0" xfId="0" applyFont="true" applyBorder="true" applyAlignment="true" applyProtection="false">
      <alignment horizontal="left" vertical="center" textRotation="0" wrapText="false" indent="0" shrinkToFit="false"/>
      <protection locked="true" hidden="false"/>
    </xf>
    <xf numFmtId="164" fontId="13" fillId="0" borderId="0" xfId="0" applyFont="true" applyBorder="false" applyAlignment="true" applyProtection="false">
      <alignment horizontal="left" vertical="center" textRotation="0" wrapText="false" indent="0" shrinkToFit="false"/>
      <protection locked="true" hidden="false"/>
    </xf>
    <xf numFmtId="164" fontId="14" fillId="0" borderId="0" xfId="0" applyFont="true" applyBorder="false" applyAlignment="true" applyProtection="false">
      <alignment horizontal="right" vertical="center" textRotation="0" wrapText="false" indent="0" shrinkToFit="false"/>
      <protection locked="true" hidden="false"/>
    </xf>
    <xf numFmtId="165" fontId="14" fillId="0" borderId="0" xfId="0" applyFont="true" applyBorder="false" applyAlignment="true" applyProtection="false">
      <alignment horizontal="right" vertical="center"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6" fontId="14" fillId="0" borderId="0" xfId="0" applyFont="true" applyBorder="false" applyAlignment="true" applyProtection="false">
      <alignment horizontal="right" vertical="center" textRotation="0" wrapText="false" indent="0" shrinkToFit="false"/>
      <protection locked="true" hidden="false"/>
    </xf>
    <xf numFmtId="164" fontId="16" fillId="5" borderId="0" xfId="0" applyFont="true" applyBorder="false" applyAlignment="true" applyProtection="false">
      <alignment horizontal="left" vertical="center" textRotation="0" wrapText="false" indent="0" shrinkToFit="false"/>
      <protection locked="true" hidden="false"/>
    </xf>
    <xf numFmtId="164" fontId="7" fillId="5" borderId="0" xfId="0" applyFont="true" applyBorder="false" applyAlignment="true" applyProtection="false">
      <alignment horizontal="center" vertical="center" textRotation="0" wrapText="true" indent="0" shrinkToFit="false"/>
      <protection locked="true" hidden="false"/>
    </xf>
    <xf numFmtId="164" fontId="13" fillId="4" borderId="0" xfId="0" applyFont="true" applyBorder="false" applyAlignment="true" applyProtection="false">
      <alignment horizontal="left" vertical="center" textRotation="0" wrapText="false" indent="0" shrinkToFit="false"/>
      <protection locked="true" hidden="false"/>
    </xf>
    <xf numFmtId="164" fontId="0" fillId="4" borderId="0" xfId="0" applyFont="false" applyBorder="false" applyAlignment="true" applyProtection="false">
      <alignment horizontal="general" vertical="bottom" textRotation="0" wrapText="false" indent="0" shrinkToFit="false"/>
      <protection locked="true" hidden="false"/>
    </xf>
    <xf numFmtId="166" fontId="14" fillId="4" borderId="0" xfId="0" applyFont="true" applyBorder="false" applyAlignment="true" applyProtection="false">
      <alignment horizontal="right" vertical="center" textRotation="0" wrapText="false" indent="0" shrinkToFit="false"/>
      <protection locked="true" hidden="false"/>
    </xf>
    <xf numFmtId="164" fontId="14" fillId="4" borderId="0" xfId="0" applyFont="true" applyBorder="false" applyAlignment="true" applyProtection="false">
      <alignment horizontal="right" vertical="center" textRotation="0" wrapText="false" indent="0" shrinkToFit="false"/>
      <protection locked="true" hidden="false"/>
    </xf>
    <xf numFmtId="167" fontId="14" fillId="0" borderId="0" xfId="0" applyFont="true" applyBorder="false" applyAlignment="true" applyProtection="false">
      <alignment horizontal="right" vertical="center" textRotation="0" wrapText="false" indent="0" shrinkToFit="false"/>
      <protection locked="true" hidden="false"/>
    </xf>
    <xf numFmtId="165" fontId="13" fillId="4" borderId="0" xfId="0" applyFont="true" applyBorder="false" applyAlignment="true" applyProtection="false">
      <alignment horizontal="right" vertical="center" textRotation="0" wrapText="false" indent="0" shrinkToFit="false"/>
      <protection locked="true" hidden="false"/>
    </xf>
    <xf numFmtId="165" fontId="13" fillId="0" borderId="0" xfId="0" applyFont="true" applyBorder="false" applyAlignment="true" applyProtection="false">
      <alignment horizontal="right" vertical="center" textRotation="0" wrapText="false" indent="0" shrinkToFit="false"/>
      <protection locked="true" hidden="false"/>
    </xf>
    <xf numFmtId="167" fontId="14" fillId="4" borderId="0" xfId="0" applyFont="true" applyBorder="false" applyAlignment="true" applyProtection="false">
      <alignment horizontal="right" vertical="center" textRotation="0" wrapText="false" indent="0" shrinkToFit="false"/>
      <protection locked="true" hidden="false"/>
    </xf>
    <xf numFmtId="164" fontId="16" fillId="5" borderId="0" xfId="0" applyFont="true" applyBorder="false" applyAlignment="true" applyProtection="false">
      <alignment horizontal="general" vertical="bottom" textRotation="0" wrapText="false" indent="0" shrinkToFit="false"/>
      <protection locked="true" hidden="false"/>
    </xf>
    <xf numFmtId="164" fontId="16" fillId="5" borderId="0" xfId="0" applyFont="true" applyBorder="false" applyAlignment="true" applyProtection="false">
      <alignment horizontal="center" vertical="bottom" textRotation="0" wrapText="false" indent="0" shrinkToFit="false"/>
      <protection locked="true" hidden="false"/>
    </xf>
    <xf numFmtId="164" fontId="17" fillId="6" borderId="0" xfId="0" applyFont="true" applyBorder="false" applyAlignment="true" applyProtection="false">
      <alignment horizontal="left" vertical="center" textRotation="0" wrapText="false" indent="0" shrinkToFit="false"/>
      <protection locked="true" hidden="false"/>
    </xf>
    <xf numFmtId="164" fontId="15" fillId="6" borderId="0" xfId="0" applyFont="true" applyBorder="false" applyAlignment="true" applyProtection="false">
      <alignment horizontal="center" vertical="bottom" textRotation="0" wrapText="false" indent="0" shrinkToFit="false"/>
      <protection locked="true" hidden="false"/>
    </xf>
    <xf numFmtId="165" fontId="18" fillId="6" borderId="0" xfId="0" applyFont="true" applyBorder="false" applyAlignment="true" applyProtection="false">
      <alignment horizontal="general" vertical="bottom" textRotation="0" wrapText="false" indent="0" shrinkToFit="false"/>
      <protection locked="true" hidden="false"/>
    </xf>
    <xf numFmtId="165" fontId="13" fillId="6" borderId="0" xfId="0" applyFont="true" applyBorder="false" applyAlignment="true" applyProtection="false">
      <alignment horizontal="right" vertical="center" textRotation="0" wrapText="false" indent="0" shrinkToFit="false"/>
      <protection locked="true" hidden="false"/>
    </xf>
    <xf numFmtId="164" fontId="15" fillId="0" borderId="0" xfId="0" applyFont="true" applyBorder="false" applyAlignment="true" applyProtection="false">
      <alignment horizontal="center" vertical="bottom" textRotation="0" wrapText="false" indent="0" shrinkToFit="false"/>
      <protection locked="true" hidden="false"/>
    </xf>
    <xf numFmtId="166" fontId="13" fillId="0" borderId="0" xfId="0" applyFont="true" applyBorder="false" applyAlignment="true" applyProtection="false">
      <alignment horizontal="right" vertical="center" textRotation="0" wrapText="false" indent="0" shrinkToFit="false"/>
      <protection locked="true" hidden="false"/>
    </xf>
    <xf numFmtId="165" fontId="17" fillId="6" borderId="0" xfId="0" applyFont="true" applyBorder="false" applyAlignment="true" applyProtection="false">
      <alignment horizontal="right" vertical="center" textRotation="0" wrapText="false" indent="0" shrinkToFit="false"/>
      <protection locked="true" hidden="false"/>
    </xf>
    <xf numFmtId="164" fontId="0" fillId="6" borderId="0" xfId="0" applyFont="false" applyBorder="false" applyAlignment="true" applyProtection="false">
      <alignment horizontal="general" vertical="bottom" textRotation="0" wrapText="false" indent="0" shrinkToFit="false"/>
      <protection locked="true" hidden="false"/>
    </xf>
    <xf numFmtId="165" fontId="18" fillId="0" borderId="0" xfId="0" applyFont="true" applyBorder="false" applyAlignment="true" applyProtection="false">
      <alignment horizontal="right" vertical="center" textRotation="0" wrapText="false" indent="0" shrinkToFit="false"/>
      <protection locked="true" hidden="false"/>
    </xf>
    <xf numFmtId="164" fontId="17" fillId="7" borderId="0" xfId="0" applyFont="true" applyBorder="false" applyAlignment="true" applyProtection="false">
      <alignment horizontal="left" vertical="center" textRotation="0" wrapText="false" indent="0" shrinkToFit="false"/>
      <protection locked="true" hidden="false"/>
    </xf>
    <xf numFmtId="164" fontId="15" fillId="7" borderId="0" xfId="0" applyFont="true" applyBorder="false" applyAlignment="true" applyProtection="false">
      <alignment horizontal="center" vertical="bottom" textRotation="0" wrapText="false" indent="0" shrinkToFit="false"/>
      <protection locked="true" hidden="false"/>
    </xf>
    <xf numFmtId="164" fontId="0" fillId="7" borderId="0" xfId="0" applyFont="false" applyBorder="false" applyAlignment="true" applyProtection="false">
      <alignment horizontal="general" vertical="bottom" textRotation="0" wrapText="false" indent="0" shrinkToFit="false"/>
      <protection locked="true" hidden="false"/>
    </xf>
    <xf numFmtId="165" fontId="17" fillId="7" borderId="0" xfId="0" applyFont="true" applyBorder="false" applyAlignment="true" applyProtection="false">
      <alignment horizontal="right" vertical="center" textRotation="0" wrapText="false" indent="0" shrinkToFit="false"/>
      <protection locked="true" hidden="false"/>
    </xf>
    <xf numFmtId="165" fontId="0" fillId="6" borderId="0" xfId="0" applyFont="false" applyBorder="false" applyAlignment="true" applyProtection="false">
      <alignment horizontal="general" vertical="bottom" textRotation="0" wrapText="false" indent="0" shrinkToFit="false"/>
      <protection locked="true" hidden="false"/>
    </xf>
    <xf numFmtId="165" fontId="18" fillId="6" borderId="0" xfId="0" applyFont="true" applyBorder="false" applyAlignment="true" applyProtection="false">
      <alignment horizontal="right" vertical="center"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17" fillId="8" borderId="0" xfId="0" applyFont="true" applyBorder="false" applyAlignment="true" applyProtection="false">
      <alignment horizontal="left" vertical="center" textRotation="0" wrapText="false" indent="0" shrinkToFit="false"/>
      <protection locked="true" hidden="false"/>
    </xf>
    <xf numFmtId="164" fontId="15" fillId="8" borderId="0" xfId="0" applyFont="true" applyBorder="false" applyAlignment="true" applyProtection="false">
      <alignment horizontal="center" vertical="bottom" textRotation="0" wrapText="false" indent="0" shrinkToFit="false"/>
      <protection locked="true" hidden="false"/>
    </xf>
    <xf numFmtId="164" fontId="0" fillId="8" borderId="0" xfId="0" applyFont="false" applyBorder="false" applyAlignment="true" applyProtection="false">
      <alignment horizontal="general" vertical="bottom" textRotation="0" wrapText="false" indent="0" shrinkToFit="false"/>
      <protection locked="true" hidden="false"/>
    </xf>
    <xf numFmtId="165" fontId="17" fillId="8" borderId="0" xfId="0" applyFont="true" applyBorder="false" applyAlignment="true" applyProtection="false">
      <alignment horizontal="right" vertical="center" textRotation="0" wrapText="false" indent="0" shrinkToFit="false"/>
      <protection locked="true" hidden="false"/>
    </xf>
    <xf numFmtId="164" fontId="13" fillId="7" borderId="0" xfId="0" applyFont="true" applyBorder="false" applyAlignment="true" applyProtection="false">
      <alignment horizontal="left" vertical="center" textRotation="0" wrapText="false" indent="0" shrinkToFit="false"/>
      <protection locked="true" hidden="false"/>
    </xf>
    <xf numFmtId="165" fontId="13" fillId="7" borderId="0" xfId="0" applyFont="true" applyBorder="false" applyAlignment="true" applyProtection="false">
      <alignment horizontal="right" vertical="center" textRotation="0" wrapText="false" indent="0" shrinkToFit="false"/>
      <protection locked="true" hidden="false"/>
    </xf>
    <xf numFmtId="164" fontId="17" fillId="7" borderId="0" xfId="0" applyFont="true" applyBorder="false" applyAlignment="true" applyProtection="false">
      <alignment horizontal="general" vertical="bottom" textRotation="0" wrapText="false" indent="0" shrinkToFit="false"/>
      <protection locked="true" hidden="false"/>
    </xf>
    <xf numFmtId="167" fontId="18" fillId="0" borderId="0" xfId="0" applyFont="true" applyBorder="false" applyAlignment="true" applyProtection="false">
      <alignment horizontal="right" vertical="center" textRotation="0" wrapText="false" indent="0" shrinkToFit="false"/>
      <protection locked="true" hidden="false"/>
    </xf>
    <xf numFmtId="165" fontId="14" fillId="7" borderId="0" xfId="0" applyFont="true" applyBorder="false" applyAlignment="true" applyProtection="false">
      <alignment horizontal="right" vertical="center" textRotation="0" wrapText="false" indent="0" shrinkToFit="false"/>
      <protection locked="true" hidden="false"/>
    </xf>
    <xf numFmtId="164" fontId="17" fillId="0" borderId="0" xfId="0" applyFont="true" applyBorder="false" applyAlignment="true" applyProtection="false">
      <alignment horizontal="left" vertical="center" textRotation="0" wrapText="false" indent="0" shrinkToFit="false"/>
      <protection locked="true" hidden="false"/>
    </xf>
    <xf numFmtId="166" fontId="19" fillId="8" borderId="0" xfId="0" applyFont="true" applyBorder="false" applyAlignment="true" applyProtection="false">
      <alignment horizontal="right" vertical="center" textRotation="0" wrapText="false" indent="0" shrinkToFit="false"/>
      <protection locked="true" hidden="false"/>
    </xf>
    <xf numFmtId="168" fontId="19" fillId="8" borderId="0" xfId="0" applyFont="true" applyBorder="false" applyAlignment="true" applyProtection="false">
      <alignment horizontal="right" vertical="center" textRotation="0" wrapText="false" indent="0" shrinkToFit="false"/>
      <protection locked="true" hidden="false"/>
    </xf>
    <xf numFmtId="164" fontId="20" fillId="8" borderId="0" xfId="0" applyFont="true" applyBorder="false" applyAlignment="true" applyProtection="false">
      <alignment horizontal="general" vertical="bottom" textRotation="0" wrapText="false" indent="0" shrinkToFit="false"/>
      <protection locked="true" hidden="false"/>
    </xf>
    <xf numFmtId="164" fontId="21" fillId="8" borderId="0" xfId="0" applyFont="true" applyBorder="false" applyAlignment="true" applyProtection="false">
      <alignment horizontal="general" vertical="bottom" textRotation="0" wrapText="false" indent="0" shrinkToFit="false"/>
      <protection locked="true" hidden="false"/>
    </xf>
    <xf numFmtId="164" fontId="20" fillId="7" borderId="0" xfId="0" applyFont="true" applyBorder="false" applyAlignment="true" applyProtection="false">
      <alignment horizontal="general" vertical="bottom" textRotation="0" wrapText="false" indent="0" shrinkToFit="false"/>
      <protection locked="true" hidden="false"/>
    </xf>
    <xf numFmtId="164" fontId="21" fillId="7" borderId="0" xfId="0" applyFont="true" applyBorder="false" applyAlignment="true" applyProtection="false">
      <alignment horizontal="general" vertical="bottom" textRotation="0" wrapText="false" indent="0" shrinkToFit="false"/>
      <protection locked="true" hidden="false"/>
    </xf>
    <xf numFmtId="164" fontId="20" fillId="4" borderId="0" xfId="0" applyFont="true" applyBorder="false" applyAlignment="true" applyProtection="false">
      <alignment horizontal="general" vertical="bottom" textRotation="0" wrapText="false" indent="0" shrinkToFit="false"/>
      <protection locked="true" hidden="false"/>
    </xf>
    <xf numFmtId="164" fontId="21" fillId="4" borderId="0" xfId="0" applyFont="true" applyBorder="false" applyAlignment="true" applyProtection="false">
      <alignment horizontal="general" vertical="bottom" textRotation="0" wrapText="false" indent="0" shrinkToFit="false"/>
      <protection locked="true" hidden="false"/>
    </xf>
    <xf numFmtId="164" fontId="20" fillId="9" borderId="0" xfId="0" applyFont="true" applyBorder="false" applyAlignment="true" applyProtection="false">
      <alignment horizontal="general" vertical="bottom" textRotation="0" wrapText="false" indent="0" shrinkToFit="false"/>
      <protection locked="true" hidden="false"/>
    </xf>
    <xf numFmtId="164" fontId="0" fillId="9" borderId="0" xfId="0" applyFont="false" applyBorder="false" applyAlignment="true" applyProtection="false">
      <alignment horizontal="general" vertical="bottom" textRotation="0" wrapText="false" indent="0" shrinkToFit="false"/>
      <protection locked="true" hidden="false"/>
    </xf>
    <xf numFmtId="164" fontId="21" fillId="9" borderId="0" xfId="0" applyFont="true" applyBorder="false" applyAlignment="true" applyProtection="false">
      <alignment horizontal="general" vertical="bottom" textRotation="0" wrapText="false" indent="0" shrinkToFit="false"/>
      <protection locked="true" hidden="false"/>
    </xf>
    <xf numFmtId="164" fontId="7" fillId="5" borderId="0" xfId="0" applyFont="true" applyBorder="true" applyAlignment="true" applyProtection="false">
      <alignment horizontal="center" vertical="center" textRotation="0" wrapText="true" indent="0" shrinkToFit="false"/>
      <protection locked="true" hidden="false"/>
    </xf>
    <xf numFmtId="164" fontId="9" fillId="5" borderId="0" xfId="0" applyFont="true" applyBorder="true" applyAlignment="true" applyProtection="false">
      <alignment horizontal="center" vertical="center" textRotation="0" wrapText="false" indent="0" shrinkToFit="false"/>
      <protection locked="true" hidden="false"/>
    </xf>
    <xf numFmtId="166" fontId="10" fillId="10" borderId="1" xfId="0" applyFont="true" applyBorder="true" applyAlignment="true" applyProtection="false">
      <alignment horizontal="center" vertical="center" textRotation="0" wrapText="false" indent="0" shrinkToFit="false"/>
      <protection locked="true" hidden="false"/>
    </xf>
    <xf numFmtId="166" fontId="22" fillId="8" borderId="1" xfId="0" applyFont="true" applyBorder="true" applyAlignment="true" applyProtection="false">
      <alignment horizontal="center" vertical="center" textRotation="0" wrapText="false" indent="0" shrinkToFit="false"/>
      <protection locked="true" hidden="false"/>
    </xf>
    <xf numFmtId="166" fontId="23" fillId="7" borderId="1" xfId="0" applyFont="true" applyBorder="true" applyAlignment="true" applyProtection="false">
      <alignment horizontal="center" vertical="center" textRotation="0" wrapText="false" indent="0" shrinkToFit="false"/>
      <protection locked="true" hidden="false"/>
    </xf>
    <xf numFmtId="166" fontId="24" fillId="9" borderId="1" xfId="0" applyFont="true" applyBorder="true" applyAlignment="true" applyProtection="false">
      <alignment horizontal="center" vertical="center" textRotation="0" wrapText="false" indent="0" shrinkToFit="false"/>
      <protection locked="true" hidden="false"/>
    </xf>
    <xf numFmtId="164" fontId="10" fillId="1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5" fillId="2" borderId="0"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66534"/>
      <rgbColor rgb="FFC0C0C0"/>
      <rgbColor rgb="FF808080"/>
      <rgbColor rgb="FF9999FF"/>
      <rgbColor rgb="FFC0392B"/>
      <rgbColor rgb="FFFEF3C7"/>
      <rgbColor rgb="FFDCFCE7"/>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F2F4F7"/>
      <rgbColor rgb="FFCCFFCC"/>
      <rgbColor rgb="FFFEE2E2"/>
      <rgbColor rgb="FF99CCFF"/>
      <rgbColor rgb="FFFF99CC"/>
      <rgbColor rgb="FFCC99FF"/>
      <rgbColor rgb="FFF0D080"/>
      <rgbColor rgb="FF3366FF"/>
      <rgbColor rgb="FF33CCCC"/>
      <rgbColor rgb="FF99CC00"/>
      <rgbColor rgb="FFFFCC00"/>
      <rgbColor rgb="FFFF9900"/>
      <rgbColor rgb="FFFF6600"/>
      <rgbColor rgb="FF667085"/>
      <rgbColor rgb="FFC9A84C"/>
      <rgbColor rgb="FF003366"/>
      <rgbColor rgb="FF339966"/>
      <rgbColor rgb="FF0D1B2A"/>
      <rgbColor rgb="FF333300"/>
      <rgbColor rgb="FF92400E"/>
      <rgbColor rgb="FF993366"/>
      <rgbColor rgb="FF333399"/>
      <rgbColor rgb="FF1B2A4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13" min="2" style="1" width="11"/>
  </cols>
  <sheetData>
    <row r="1" customFormat="false" ht="15" hidden="false" customHeight="true" outlineLevel="0" collapsed="false">
      <c r="A1" s="2"/>
      <c r="B1" s="2"/>
      <c r="C1" s="2"/>
      <c r="D1" s="2"/>
      <c r="E1" s="2"/>
      <c r="F1" s="2"/>
      <c r="G1" s="2"/>
      <c r="H1" s="2"/>
      <c r="I1" s="2"/>
      <c r="J1" s="2"/>
      <c r="K1" s="2"/>
      <c r="L1" s="2"/>
      <c r="M1" s="2"/>
    </row>
    <row r="2" customFormat="false" ht="15" hidden="false" customHeight="true" outlineLevel="0" collapsed="false">
      <c r="A2" s="2"/>
      <c r="B2" s="2"/>
      <c r="C2" s="2"/>
      <c r="D2" s="2"/>
      <c r="E2" s="2"/>
      <c r="F2" s="2"/>
      <c r="G2" s="2"/>
      <c r="H2" s="2"/>
      <c r="I2" s="2"/>
      <c r="J2" s="2"/>
      <c r="K2" s="2"/>
      <c r="L2" s="2"/>
      <c r="M2" s="2"/>
    </row>
    <row r="3" customFormat="false" ht="15" hidden="false" customHeight="true" outlineLevel="0" collapsed="false">
      <c r="A3" s="2"/>
      <c r="B3" s="2"/>
      <c r="C3" s="2"/>
      <c r="D3" s="2"/>
      <c r="E3" s="2"/>
      <c r="F3" s="2"/>
      <c r="G3" s="2"/>
      <c r="H3" s="2"/>
      <c r="I3" s="2"/>
      <c r="J3" s="2"/>
      <c r="K3" s="2"/>
      <c r="L3" s="2"/>
      <c r="M3" s="2"/>
    </row>
    <row r="4" customFormat="false" ht="15" hidden="false" customHeight="true" outlineLevel="0" collapsed="false">
      <c r="A4" s="2"/>
      <c r="B4" s="2"/>
      <c r="C4" s="2"/>
      <c r="D4" s="2"/>
      <c r="E4" s="2"/>
      <c r="F4" s="2"/>
      <c r="G4" s="2"/>
      <c r="H4" s="2"/>
      <c r="I4" s="2"/>
      <c r="J4" s="2"/>
      <c r="K4" s="2"/>
      <c r="L4" s="2"/>
      <c r="M4" s="2"/>
    </row>
    <row r="5" customFormat="false" ht="15" hidden="false" customHeight="true" outlineLevel="0" collapsed="false">
      <c r="A5" s="2"/>
      <c r="B5" s="2"/>
      <c r="C5" s="2"/>
      <c r="D5" s="2"/>
      <c r="E5" s="2"/>
      <c r="F5" s="2"/>
      <c r="G5" s="2"/>
      <c r="H5" s="2"/>
      <c r="I5" s="2"/>
      <c r="J5" s="2"/>
      <c r="K5" s="2"/>
      <c r="L5" s="2"/>
      <c r="M5" s="2"/>
    </row>
    <row r="6" customFormat="false" ht="15" hidden="false" customHeight="true" outlineLevel="0" collapsed="false">
      <c r="A6" s="2"/>
      <c r="B6" s="2"/>
      <c r="C6" s="2"/>
      <c r="D6" s="2"/>
      <c r="E6" s="2"/>
      <c r="F6" s="2"/>
      <c r="G6" s="2"/>
      <c r="H6" s="2"/>
      <c r="I6" s="2"/>
      <c r="J6" s="2"/>
      <c r="K6" s="2"/>
      <c r="L6" s="2"/>
      <c r="M6" s="2"/>
    </row>
    <row r="7" customFormat="false" ht="15" hidden="false" customHeight="true" outlineLevel="0" collapsed="false">
      <c r="A7" s="2"/>
      <c r="B7" s="2"/>
      <c r="C7" s="2"/>
      <c r="D7" s="2"/>
      <c r="E7" s="2"/>
      <c r="F7" s="2"/>
      <c r="G7" s="2"/>
      <c r="H7" s="2"/>
      <c r="I7" s="2"/>
      <c r="J7" s="2"/>
      <c r="K7" s="2"/>
      <c r="L7" s="2"/>
      <c r="M7" s="2"/>
    </row>
    <row r="8" customFormat="false" ht="15" hidden="false" customHeight="true" outlineLevel="0" collapsed="false">
      <c r="A8" s="3"/>
      <c r="B8" s="3"/>
      <c r="C8" s="3"/>
      <c r="D8" s="3"/>
      <c r="E8" s="3"/>
      <c r="F8" s="3"/>
      <c r="G8" s="3"/>
      <c r="H8" s="3"/>
      <c r="I8" s="3"/>
      <c r="J8" s="3"/>
      <c r="K8" s="3"/>
      <c r="L8" s="3"/>
      <c r="M8" s="3"/>
    </row>
    <row r="9" customFormat="false" ht="15" hidden="false" customHeight="true" outlineLevel="0" collapsed="false">
      <c r="A9" s="3"/>
      <c r="B9" s="3"/>
      <c r="C9" s="3"/>
      <c r="D9" s="3"/>
      <c r="E9" s="3"/>
      <c r="F9" s="3"/>
      <c r="G9" s="3"/>
      <c r="H9" s="3"/>
      <c r="I9" s="3"/>
      <c r="J9" s="3"/>
      <c r="K9" s="3"/>
      <c r="L9" s="3"/>
      <c r="M9" s="3"/>
    </row>
    <row r="10" customFormat="false" ht="15" hidden="false" customHeight="true" outlineLevel="0" collapsed="false">
      <c r="A10" s="2"/>
      <c r="B10" s="2"/>
      <c r="C10" s="2"/>
      <c r="D10" s="2"/>
      <c r="E10" s="2"/>
      <c r="F10" s="2"/>
      <c r="G10" s="2"/>
      <c r="H10" s="2"/>
      <c r="I10" s="2"/>
      <c r="J10" s="2"/>
      <c r="K10" s="2"/>
      <c r="L10" s="2"/>
      <c r="M10" s="2"/>
    </row>
    <row r="11" customFormat="false" ht="39.75" hidden="false" customHeight="true" outlineLevel="0" collapsed="false">
      <c r="A11" s="2"/>
      <c r="B11" s="4" t="s">
        <v>0</v>
      </c>
      <c r="C11" s="4"/>
      <c r="D11" s="4"/>
      <c r="E11" s="4"/>
      <c r="F11" s="4"/>
      <c r="G11" s="4"/>
      <c r="H11" s="4"/>
      <c r="I11" s="4"/>
      <c r="J11" s="4"/>
      <c r="K11" s="4"/>
      <c r="L11" s="4"/>
      <c r="M11" s="4"/>
    </row>
    <row r="12" customFormat="false" ht="15" hidden="false" customHeight="true" outlineLevel="0" collapsed="false">
      <c r="A12" s="2"/>
      <c r="B12" s="4"/>
      <c r="C12" s="4"/>
      <c r="D12" s="4"/>
      <c r="E12" s="4"/>
      <c r="F12" s="4"/>
      <c r="G12" s="4"/>
      <c r="H12" s="4"/>
      <c r="I12" s="4"/>
      <c r="J12" s="4"/>
      <c r="K12" s="4"/>
      <c r="L12" s="4"/>
      <c r="M12" s="4"/>
    </row>
    <row r="13" customFormat="false" ht="15" hidden="false" customHeight="true" outlineLevel="0" collapsed="false">
      <c r="A13" s="2"/>
      <c r="B13" s="4"/>
      <c r="C13" s="4"/>
      <c r="D13" s="4"/>
      <c r="E13" s="4"/>
      <c r="F13" s="4"/>
      <c r="G13" s="4"/>
      <c r="H13" s="4"/>
      <c r="I13" s="4"/>
      <c r="J13" s="4"/>
      <c r="K13" s="4"/>
      <c r="L13" s="4"/>
      <c r="M13" s="4"/>
    </row>
    <row r="14" customFormat="false" ht="15" hidden="false" customHeight="true" outlineLevel="0" collapsed="false">
      <c r="A14" s="2"/>
      <c r="B14" s="4"/>
      <c r="C14" s="4"/>
      <c r="D14" s="4"/>
      <c r="E14" s="4"/>
      <c r="F14" s="4"/>
      <c r="G14" s="4"/>
      <c r="H14" s="4"/>
      <c r="I14" s="4"/>
      <c r="J14" s="4"/>
      <c r="K14" s="4"/>
      <c r="L14" s="4"/>
      <c r="M14" s="4"/>
    </row>
    <row r="15" customFormat="false" ht="15" hidden="false" customHeight="true" outlineLevel="0" collapsed="false">
      <c r="A15" s="2"/>
      <c r="B15" s="5" t="s">
        <v>1</v>
      </c>
      <c r="C15" s="5"/>
      <c r="D15" s="5"/>
      <c r="E15" s="5"/>
      <c r="F15" s="5"/>
      <c r="G15" s="5"/>
      <c r="H15" s="5"/>
      <c r="I15" s="5"/>
      <c r="J15" s="5"/>
      <c r="K15" s="5"/>
      <c r="L15" s="5"/>
      <c r="M15" s="5"/>
    </row>
    <row r="16" customFormat="false" ht="15" hidden="false" customHeight="true" outlineLevel="0" collapsed="false">
      <c r="A16" s="2"/>
      <c r="B16" s="5"/>
      <c r="C16" s="5"/>
      <c r="D16" s="5"/>
      <c r="E16" s="5"/>
      <c r="F16" s="5"/>
      <c r="G16" s="5"/>
      <c r="H16" s="5"/>
      <c r="I16" s="5"/>
      <c r="J16" s="5"/>
      <c r="K16" s="5"/>
      <c r="L16" s="5"/>
      <c r="M16" s="5"/>
    </row>
    <row r="17" customFormat="false" ht="15" hidden="false" customHeight="true" outlineLevel="0" collapsed="false">
      <c r="A17" s="2"/>
      <c r="B17" s="6" t="s">
        <v>2</v>
      </c>
      <c r="C17" s="6"/>
      <c r="D17" s="6"/>
      <c r="E17" s="6"/>
      <c r="F17" s="6"/>
      <c r="G17" s="6"/>
      <c r="H17" s="6"/>
      <c r="I17" s="6"/>
      <c r="J17" s="6"/>
      <c r="K17" s="6"/>
      <c r="L17" s="6"/>
      <c r="M17" s="6"/>
    </row>
    <row r="18" customFormat="false" ht="15" hidden="false" customHeight="true" outlineLevel="0" collapsed="false">
      <c r="A18" s="2"/>
      <c r="B18" s="6"/>
      <c r="C18" s="6"/>
      <c r="D18" s="6"/>
      <c r="E18" s="6"/>
      <c r="F18" s="6"/>
      <c r="G18" s="6"/>
      <c r="H18" s="6"/>
      <c r="I18" s="6"/>
      <c r="J18" s="6"/>
      <c r="K18" s="6"/>
      <c r="L18" s="6"/>
      <c r="M18" s="6"/>
    </row>
    <row r="19" customFormat="false" ht="15" hidden="false" customHeight="true" outlineLevel="0" collapsed="false">
      <c r="A19" s="2"/>
      <c r="B19" s="2"/>
      <c r="C19" s="2"/>
      <c r="D19" s="2"/>
      <c r="E19" s="2"/>
      <c r="F19" s="2"/>
      <c r="G19" s="2"/>
      <c r="H19" s="2"/>
      <c r="I19" s="2"/>
      <c r="J19" s="2"/>
      <c r="K19" s="2"/>
      <c r="L19" s="2"/>
      <c r="M19" s="2"/>
    </row>
    <row r="20" customFormat="false" ht="15" hidden="false" customHeight="true" outlineLevel="0" collapsed="false">
      <c r="A20" s="2"/>
      <c r="B20" s="3"/>
      <c r="C20" s="3"/>
      <c r="D20" s="3"/>
      <c r="E20" s="3"/>
      <c r="F20" s="3"/>
      <c r="G20" s="3"/>
      <c r="H20" s="3"/>
      <c r="I20" s="3"/>
      <c r="J20" s="3"/>
      <c r="K20" s="3"/>
      <c r="L20" s="3"/>
      <c r="M20" s="3"/>
    </row>
    <row r="21" customFormat="false" ht="15" hidden="false" customHeight="true" outlineLevel="0" collapsed="false">
      <c r="A21" s="2"/>
      <c r="B21" s="2"/>
      <c r="C21" s="2"/>
      <c r="D21" s="2"/>
      <c r="E21" s="2"/>
      <c r="F21" s="2"/>
      <c r="G21" s="2"/>
      <c r="H21" s="2"/>
      <c r="I21" s="2"/>
      <c r="J21" s="2"/>
      <c r="K21" s="2"/>
      <c r="L21" s="2"/>
      <c r="M21" s="2"/>
    </row>
    <row r="22" customFormat="false" ht="15" hidden="false" customHeight="true" outlineLevel="0" collapsed="false">
      <c r="A22" s="2"/>
      <c r="B22" s="7" t="s">
        <v>3</v>
      </c>
      <c r="C22" s="7"/>
      <c r="D22" s="7" t="s">
        <v>4</v>
      </c>
      <c r="E22" s="7"/>
      <c r="F22" s="7" t="s">
        <v>5</v>
      </c>
      <c r="G22" s="7"/>
      <c r="H22" s="7" t="s">
        <v>6</v>
      </c>
      <c r="I22" s="7"/>
      <c r="J22" s="7" t="s">
        <v>7</v>
      </c>
      <c r="K22" s="7"/>
      <c r="L22" s="2"/>
      <c r="M22" s="2"/>
    </row>
    <row r="23" customFormat="false" ht="15" hidden="false" customHeight="true" outlineLevel="0" collapsed="false">
      <c r="A23" s="2"/>
      <c r="B23" s="8" t="s">
        <v>8</v>
      </c>
      <c r="C23" s="8"/>
      <c r="D23" s="8" t="s">
        <v>9</v>
      </c>
      <c r="E23" s="8"/>
      <c r="F23" s="8" t="s">
        <v>10</v>
      </c>
      <c r="G23" s="8"/>
      <c r="H23" s="8" t="s">
        <v>11</v>
      </c>
      <c r="I23" s="8"/>
      <c r="J23" s="8" t="s">
        <v>12</v>
      </c>
      <c r="K23" s="8"/>
      <c r="L23" s="2"/>
      <c r="M23" s="2"/>
    </row>
    <row r="24" customFormat="false" ht="15" hidden="false" customHeight="true" outlineLevel="0" collapsed="false">
      <c r="A24" s="2"/>
      <c r="B24" s="2"/>
      <c r="C24" s="2"/>
      <c r="D24" s="2"/>
      <c r="E24" s="2"/>
      <c r="F24" s="2"/>
      <c r="G24" s="2"/>
      <c r="H24" s="2"/>
      <c r="I24" s="2"/>
      <c r="J24" s="2"/>
      <c r="K24" s="2"/>
      <c r="L24" s="2"/>
      <c r="M24" s="2"/>
    </row>
    <row r="25" customFormat="false" ht="15" hidden="false" customHeight="true" outlineLevel="0" collapsed="false">
      <c r="A25" s="2"/>
      <c r="B25" s="2"/>
      <c r="C25" s="2"/>
      <c r="D25" s="2"/>
      <c r="E25" s="2"/>
      <c r="F25" s="2"/>
      <c r="G25" s="2"/>
      <c r="H25" s="2"/>
      <c r="I25" s="2"/>
      <c r="J25" s="2"/>
      <c r="K25" s="2"/>
      <c r="L25" s="2"/>
      <c r="M25" s="2"/>
    </row>
    <row r="26" customFormat="false" ht="15" hidden="false" customHeight="true" outlineLevel="0" collapsed="false">
      <c r="A26" s="2"/>
      <c r="B26" s="9" t="s">
        <v>13</v>
      </c>
      <c r="C26" s="9"/>
      <c r="D26" s="9"/>
      <c r="E26" s="9"/>
      <c r="F26" s="9"/>
      <c r="G26" s="9"/>
      <c r="H26" s="9"/>
      <c r="I26" s="9"/>
      <c r="J26" s="9"/>
      <c r="K26" s="9"/>
      <c r="L26" s="9"/>
      <c r="M26" s="9"/>
    </row>
    <row r="27" customFormat="false" ht="15" hidden="false" customHeight="true" outlineLevel="0" collapsed="false">
      <c r="A27" s="2"/>
      <c r="B27" s="2"/>
      <c r="C27" s="2"/>
      <c r="D27" s="2"/>
      <c r="E27" s="2"/>
      <c r="F27" s="2"/>
      <c r="G27" s="2"/>
      <c r="H27" s="2"/>
      <c r="I27" s="2"/>
      <c r="J27" s="2"/>
      <c r="K27" s="2"/>
      <c r="L27" s="2"/>
      <c r="M27" s="2"/>
    </row>
    <row r="28" customFormat="false" ht="15" hidden="false" customHeight="true" outlineLevel="0" collapsed="false">
      <c r="A28" s="2"/>
      <c r="B28" s="10" t="s">
        <v>14</v>
      </c>
      <c r="C28" s="2"/>
      <c r="D28" s="2"/>
      <c r="E28" s="11" t="s">
        <v>15</v>
      </c>
      <c r="F28" s="2"/>
      <c r="G28" s="2"/>
      <c r="H28" s="2"/>
      <c r="I28" s="2"/>
      <c r="J28" s="2"/>
      <c r="K28" s="2"/>
      <c r="L28" s="2"/>
      <c r="M28" s="2"/>
    </row>
    <row r="29" customFormat="false" ht="15" hidden="false" customHeight="true" outlineLevel="0" collapsed="false">
      <c r="A29" s="2"/>
      <c r="B29" s="10" t="s">
        <v>16</v>
      </c>
      <c r="C29" s="2"/>
      <c r="D29" s="2"/>
      <c r="E29" s="11" t="s">
        <v>17</v>
      </c>
      <c r="F29" s="2"/>
      <c r="G29" s="2"/>
      <c r="H29" s="2"/>
      <c r="I29" s="2"/>
      <c r="J29" s="2"/>
      <c r="K29" s="2"/>
      <c r="L29" s="2"/>
      <c r="M29" s="2"/>
    </row>
    <row r="30" customFormat="false" ht="15" hidden="false" customHeight="true" outlineLevel="0" collapsed="false">
      <c r="A30" s="2"/>
      <c r="B30" s="10" t="s">
        <v>18</v>
      </c>
      <c r="C30" s="2"/>
      <c r="D30" s="2"/>
      <c r="E30" s="11" t="s">
        <v>19</v>
      </c>
      <c r="F30" s="2"/>
      <c r="G30" s="2"/>
      <c r="H30" s="2"/>
      <c r="I30" s="2"/>
      <c r="J30" s="2"/>
      <c r="K30" s="2"/>
      <c r="L30" s="2"/>
      <c r="M30" s="2"/>
    </row>
    <row r="31" customFormat="false" ht="15" hidden="false" customHeight="true" outlineLevel="0" collapsed="false">
      <c r="A31" s="2"/>
      <c r="B31" s="10" t="s">
        <v>20</v>
      </c>
      <c r="C31" s="2"/>
      <c r="D31" s="2"/>
      <c r="E31" s="11" t="s">
        <v>21</v>
      </c>
      <c r="F31" s="2"/>
      <c r="G31" s="2"/>
      <c r="H31" s="2"/>
      <c r="I31" s="2"/>
      <c r="J31" s="2"/>
      <c r="K31" s="2"/>
      <c r="L31" s="2"/>
      <c r="M31" s="2"/>
    </row>
    <row r="32" customFormat="false" ht="15" hidden="false" customHeight="true" outlineLevel="0" collapsed="false">
      <c r="A32" s="2"/>
      <c r="B32" s="10" t="s">
        <v>22</v>
      </c>
      <c r="C32" s="2"/>
      <c r="D32" s="2"/>
      <c r="E32" s="11" t="s">
        <v>23</v>
      </c>
      <c r="F32" s="2"/>
      <c r="G32" s="2"/>
      <c r="H32" s="2"/>
      <c r="I32" s="2"/>
      <c r="J32" s="2"/>
      <c r="K32" s="2"/>
      <c r="L32" s="2"/>
      <c r="M32" s="2"/>
    </row>
    <row r="33" customFormat="false" ht="15" hidden="false" customHeight="true" outlineLevel="0" collapsed="false">
      <c r="A33" s="2"/>
      <c r="B33" s="10" t="s">
        <v>24</v>
      </c>
      <c r="C33" s="2"/>
      <c r="D33" s="2"/>
      <c r="E33" s="11" t="s">
        <v>25</v>
      </c>
      <c r="F33" s="2"/>
      <c r="G33" s="2"/>
      <c r="H33" s="2"/>
      <c r="I33" s="2"/>
      <c r="J33" s="2"/>
      <c r="K33" s="2"/>
      <c r="L33" s="2"/>
      <c r="M33" s="2"/>
    </row>
    <row r="34" customFormat="false" ht="15" hidden="false" customHeight="true" outlineLevel="0" collapsed="false">
      <c r="A34" s="2"/>
      <c r="B34" s="2"/>
      <c r="C34" s="2"/>
      <c r="D34" s="2"/>
      <c r="E34" s="2"/>
      <c r="F34" s="2"/>
      <c r="G34" s="2"/>
      <c r="H34" s="2"/>
      <c r="I34" s="2"/>
      <c r="J34" s="2"/>
      <c r="K34" s="2"/>
      <c r="L34" s="2"/>
      <c r="M34" s="2"/>
    </row>
    <row r="35" customFormat="false" ht="15" hidden="false" customHeight="true" outlineLevel="0" collapsed="false">
      <c r="A35" s="2"/>
      <c r="B35" s="2"/>
      <c r="C35" s="2"/>
      <c r="D35" s="2"/>
      <c r="E35" s="2"/>
      <c r="F35" s="2"/>
      <c r="G35" s="2"/>
      <c r="H35" s="2"/>
      <c r="I35" s="2"/>
      <c r="J35" s="2"/>
      <c r="K35" s="2"/>
      <c r="L35" s="2"/>
      <c r="M35" s="2"/>
    </row>
    <row r="36" customFormat="false" ht="15" hidden="false" customHeight="true" outlineLevel="0" collapsed="false">
      <c r="A36" s="2"/>
      <c r="B36" s="2"/>
      <c r="C36" s="2"/>
      <c r="D36" s="2"/>
      <c r="E36" s="2"/>
      <c r="F36" s="2"/>
      <c r="G36" s="2"/>
      <c r="H36" s="2"/>
      <c r="I36" s="2"/>
      <c r="J36" s="2"/>
      <c r="K36" s="2"/>
      <c r="L36" s="2"/>
      <c r="M36" s="2"/>
    </row>
    <row r="37" customFormat="false" ht="15" hidden="false" customHeight="true" outlineLevel="0" collapsed="false">
      <c r="A37" s="2"/>
      <c r="B37" s="2"/>
      <c r="C37" s="2"/>
      <c r="D37" s="2"/>
      <c r="E37" s="2"/>
      <c r="F37" s="2"/>
      <c r="G37" s="2"/>
      <c r="H37" s="2"/>
      <c r="I37" s="2"/>
      <c r="J37" s="2"/>
      <c r="K37" s="2"/>
      <c r="L37" s="2"/>
      <c r="M37" s="2"/>
    </row>
    <row r="38" customFormat="false" ht="15" hidden="false" customHeight="true" outlineLevel="0" collapsed="false">
      <c r="A38" s="2"/>
      <c r="B38" s="2"/>
      <c r="C38" s="2"/>
      <c r="D38" s="2"/>
      <c r="E38" s="2"/>
      <c r="F38" s="2"/>
      <c r="G38" s="2"/>
      <c r="H38" s="2"/>
      <c r="I38" s="2"/>
      <c r="J38" s="2"/>
      <c r="K38" s="2"/>
      <c r="L38" s="2"/>
      <c r="M38" s="2"/>
    </row>
    <row r="39" customFormat="false" ht="15" hidden="false" customHeight="true" outlineLevel="0" collapsed="false">
      <c r="A39" s="2"/>
      <c r="B39" s="2"/>
      <c r="C39" s="2"/>
      <c r="D39" s="2"/>
      <c r="E39" s="2"/>
      <c r="F39" s="2"/>
      <c r="G39" s="2"/>
      <c r="H39" s="2"/>
      <c r="I39" s="2"/>
      <c r="J39" s="2"/>
      <c r="K39" s="2"/>
      <c r="L39" s="2"/>
      <c r="M39" s="2"/>
    </row>
    <row r="40" customFormat="false" ht="15" hidden="false" customHeight="true" outlineLevel="0" collapsed="false">
      <c r="A40" s="2"/>
      <c r="B40" s="2"/>
      <c r="C40" s="2"/>
      <c r="D40" s="2"/>
      <c r="E40" s="2"/>
      <c r="F40" s="2"/>
      <c r="G40" s="2"/>
      <c r="H40" s="2"/>
      <c r="I40" s="2"/>
      <c r="J40" s="2"/>
      <c r="K40" s="2"/>
      <c r="L40" s="2"/>
      <c r="M40" s="2"/>
    </row>
    <row r="41" customFormat="false" ht="15" hidden="false" customHeight="true" outlineLevel="0" collapsed="false">
      <c r="A41" s="2"/>
      <c r="B41" s="12" t="s">
        <v>26</v>
      </c>
      <c r="C41" s="12"/>
      <c r="D41" s="12"/>
      <c r="E41" s="12"/>
      <c r="F41" s="12"/>
      <c r="G41" s="12"/>
      <c r="H41" s="12"/>
      <c r="I41" s="12"/>
      <c r="J41" s="12"/>
      <c r="K41" s="12"/>
      <c r="L41" s="12"/>
      <c r="M41" s="12"/>
    </row>
    <row r="42" customFormat="false" ht="15" hidden="false" customHeight="true" outlineLevel="0" collapsed="false">
      <c r="A42" s="2"/>
      <c r="B42" s="12"/>
      <c r="C42" s="12"/>
      <c r="D42" s="12"/>
      <c r="E42" s="12"/>
      <c r="F42" s="12"/>
      <c r="G42" s="12"/>
      <c r="H42" s="12"/>
      <c r="I42" s="12"/>
      <c r="J42" s="12"/>
      <c r="K42" s="12"/>
      <c r="L42" s="12"/>
      <c r="M42" s="12"/>
    </row>
    <row r="43" customFormat="false" ht="15" hidden="false" customHeight="true" outlineLevel="0" collapsed="false">
      <c r="A43" s="2"/>
      <c r="B43" s="2"/>
      <c r="C43" s="2"/>
      <c r="D43" s="2"/>
      <c r="E43" s="2"/>
      <c r="F43" s="2"/>
      <c r="G43" s="2"/>
      <c r="H43" s="2"/>
      <c r="I43" s="2"/>
      <c r="J43" s="2"/>
      <c r="K43" s="2"/>
      <c r="L43" s="2"/>
      <c r="M43" s="2"/>
    </row>
    <row r="44" customFormat="false" ht="15" hidden="false" customHeight="true" outlineLevel="0" collapsed="false">
      <c r="A44" s="2"/>
      <c r="B44" s="2"/>
      <c r="C44" s="2"/>
      <c r="D44" s="2"/>
      <c r="E44" s="2"/>
      <c r="F44" s="2"/>
      <c r="G44" s="2"/>
      <c r="H44" s="2"/>
      <c r="I44" s="2"/>
      <c r="J44" s="2"/>
      <c r="K44" s="2"/>
      <c r="L44" s="2"/>
      <c r="M44" s="2"/>
    </row>
  </sheetData>
  <mergeCells count="15">
    <mergeCell ref="B11:M14"/>
    <mergeCell ref="B15:M16"/>
    <mergeCell ref="B17:M18"/>
    <mergeCell ref="B22:C22"/>
    <mergeCell ref="D22:E22"/>
    <mergeCell ref="F22:G22"/>
    <mergeCell ref="H22:I22"/>
    <mergeCell ref="J22:K22"/>
    <mergeCell ref="B23:C23"/>
    <mergeCell ref="D23:E23"/>
    <mergeCell ref="F23:G23"/>
    <mergeCell ref="H23:I23"/>
    <mergeCell ref="J23:K23"/>
    <mergeCell ref="B26:M26"/>
    <mergeCell ref="B41:M4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K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36"/>
    <col collapsed="false" customWidth="true" hidden="false" outlineLevel="0" max="4" min="3" style="1" width="18"/>
    <col collapsed="false" customWidth="true" hidden="false" outlineLevel="0" max="5" min="5" style="1" width="22"/>
    <col collapsed="false" customWidth="true" hidden="false" outlineLevel="0" max="10" min="6" style="1" width="14"/>
    <col collapsed="false" customWidth="true" hidden="false" outlineLevel="0" max="11" min="11" style="1" width="62"/>
  </cols>
  <sheetData>
    <row r="1" customFormat="false" ht="30" hidden="false" customHeight="true" outlineLevel="0" collapsed="false">
      <c r="B1" s="13" t="s">
        <v>27</v>
      </c>
      <c r="C1" s="13"/>
      <c r="D1" s="13"/>
      <c r="E1" s="13"/>
      <c r="K1" s="14" t="s">
        <v>28</v>
      </c>
    </row>
    <row r="2" customFormat="false" ht="15" hidden="false" customHeight="true" outlineLevel="0" collapsed="false">
      <c r="B2" s="15" t="s">
        <v>29</v>
      </c>
      <c r="C2" s="15"/>
      <c r="D2" s="15"/>
      <c r="E2" s="15"/>
    </row>
    <row r="4" customFormat="false" ht="19.5" hidden="false" customHeight="true" outlineLevel="0" collapsed="false">
      <c r="B4" s="16" t="s">
        <v>30</v>
      </c>
      <c r="C4" s="16"/>
      <c r="D4" s="16"/>
      <c r="E4" s="16"/>
    </row>
    <row r="5" customFormat="false" ht="18" hidden="false" customHeight="true" outlineLevel="0" collapsed="false">
      <c r="B5" s="17" t="s">
        <v>31</v>
      </c>
      <c r="C5" s="18" t="s">
        <v>32</v>
      </c>
    </row>
    <row r="6" customFormat="false" ht="18" hidden="false" customHeight="true" outlineLevel="0" collapsed="false">
      <c r="B6" s="17" t="s">
        <v>33</v>
      </c>
      <c r="C6" s="18" t="s">
        <v>34</v>
      </c>
    </row>
    <row r="7" customFormat="false" ht="18" hidden="false" customHeight="true" outlineLevel="0" collapsed="false">
      <c r="B7" s="17" t="s">
        <v>35</v>
      </c>
      <c r="C7" s="18" t="s">
        <v>36</v>
      </c>
    </row>
    <row r="8" customFormat="false" ht="18" hidden="false" customHeight="true" outlineLevel="0" collapsed="false">
      <c r="B8" s="17" t="s">
        <v>37</v>
      </c>
      <c r="C8" s="19" t="n">
        <v>4150</v>
      </c>
      <c r="E8" s="20" t="s">
        <v>38</v>
      </c>
    </row>
    <row r="9" customFormat="false" ht="18" hidden="false" customHeight="true" outlineLevel="0" collapsed="false">
      <c r="B9" s="17" t="s">
        <v>39</v>
      </c>
      <c r="C9" s="19" t="n">
        <v>840</v>
      </c>
      <c r="E9" s="20" t="s">
        <v>38</v>
      </c>
    </row>
    <row r="10" customFormat="false" ht="18" hidden="false" customHeight="true" outlineLevel="0" collapsed="false">
      <c r="B10" s="17" t="s">
        <v>40</v>
      </c>
      <c r="C10" s="21" t="n">
        <v>0.2024</v>
      </c>
      <c r="E10" s="20" t="s">
        <v>41</v>
      </c>
    </row>
    <row r="11" customFormat="false" ht="18" hidden="false" customHeight="true" outlineLevel="0" collapsed="false">
      <c r="B11" s="17" t="s">
        <v>42</v>
      </c>
      <c r="C11" s="19" t="n">
        <v>1200</v>
      </c>
      <c r="E11" s="20" t="s">
        <v>38</v>
      </c>
    </row>
    <row r="13" customFormat="false" ht="19.5" hidden="false" customHeight="true" outlineLevel="0" collapsed="false">
      <c r="B13" s="16" t="s">
        <v>43</v>
      </c>
      <c r="C13" s="16"/>
      <c r="D13" s="16"/>
      <c r="E13" s="16"/>
    </row>
    <row r="14" customFormat="false" ht="19.5" hidden="false" customHeight="true" outlineLevel="0" collapsed="false">
      <c r="B14" s="22" t="s">
        <v>44</v>
      </c>
      <c r="F14" s="23" t="s">
        <v>45</v>
      </c>
      <c r="G14" s="23" t="s">
        <v>46</v>
      </c>
      <c r="H14" s="23" t="s">
        <v>47</v>
      </c>
      <c r="I14" s="23" t="s">
        <v>48</v>
      </c>
      <c r="J14" s="23" t="s">
        <v>49</v>
      </c>
    </row>
    <row r="15" customFormat="false" ht="18" hidden="false" customHeight="true" outlineLevel="0" collapsed="false">
      <c r="B15" s="24" t="s">
        <v>50</v>
      </c>
      <c r="C15" s="25"/>
      <c r="D15" s="25"/>
      <c r="E15" s="25"/>
      <c r="F15" s="26" t="n">
        <v>0.09</v>
      </c>
      <c r="G15" s="26" t="n">
        <v>0.11</v>
      </c>
      <c r="H15" s="26" t="n">
        <v>0.11</v>
      </c>
      <c r="I15" s="26" t="n">
        <v>0.1</v>
      </c>
      <c r="J15" s="26" t="n">
        <v>0.09</v>
      </c>
      <c r="K15" s="20" t="s">
        <v>51</v>
      </c>
    </row>
    <row r="16" customFormat="false" ht="18" hidden="false" customHeight="true" outlineLevel="0" collapsed="false">
      <c r="B16" s="17" t="s">
        <v>52</v>
      </c>
      <c r="F16" s="21" t="n">
        <v>0.215</v>
      </c>
      <c r="G16" s="21" t="n">
        <v>0.225</v>
      </c>
      <c r="H16" s="21" t="n">
        <v>0.235</v>
      </c>
      <c r="I16" s="21" t="n">
        <v>0.24</v>
      </c>
      <c r="J16" s="21" t="n">
        <v>0.25</v>
      </c>
      <c r="K16" s="20" t="s">
        <v>53</v>
      </c>
    </row>
    <row r="17" customFormat="false" ht="18" hidden="false" customHeight="true" outlineLevel="0" collapsed="false">
      <c r="B17" s="24" t="s">
        <v>54</v>
      </c>
      <c r="C17" s="25"/>
      <c r="D17" s="25"/>
      <c r="E17" s="25"/>
      <c r="F17" s="26" t="n">
        <v>0.042</v>
      </c>
      <c r="G17" s="26" t="n">
        <v>0.041</v>
      </c>
      <c r="H17" s="26" t="n">
        <v>0.04</v>
      </c>
      <c r="I17" s="26" t="n">
        <v>0.04</v>
      </c>
      <c r="J17" s="26" t="n">
        <v>0.039</v>
      </c>
      <c r="K17" s="20" t="s">
        <v>55</v>
      </c>
    </row>
    <row r="18" customFormat="false" ht="18" hidden="false" customHeight="true" outlineLevel="0" collapsed="false">
      <c r="B18" s="17" t="s">
        <v>56</v>
      </c>
      <c r="F18" s="21" t="n">
        <v>0.055</v>
      </c>
      <c r="G18" s="21" t="n">
        <v>0.053</v>
      </c>
      <c r="H18" s="21" t="n">
        <v>0.05</v>
      </c>
      <c r="I18" s="21" t="n">
        <v>0.048</v>
      </c>
      <c r="J18" s="21" t="n">
        <v>0.045</v>
      </c>
      <c r="K18" s="20" t="s">
        <v>57</v>
      </c>
    </row>
    <row r="19" customFormat="false" ht="18" hidden="false" customHeight="true" outlineLevel="0" collapsed="false">
      <c r="B19" s="24" t="s">
        <v>58</v>
      </c>
      <c r="C19" s="25"/>
      <c r="D19" s="25"/>
      <c r="E19" s="25"/>
      <c r="F19" s="26" t="n">
        <v>0.018</v>
      </c>
      <c r="G19" s="26" t="n">
        <v>0.018</v>
      </c>
      <c r="H19" s="26" t="n">
        <v>0.017</v>
      </c>
      <c r="I19" s="26" t="n">
        <v>0.017</v>
      </c>
      <c r="J19" s="26" t="n">
        <v>0.016</v>
      </c>
      <c r="K19" s="20" t="s">
        <v>59</v>
      </c>
    </row>
    <row r="20" customFormat="false" ht="18" hidden="false" customHeight="true" outlineLevel="0" collapsed="false">
      <c r="B20" s="17" t="s">
        <v>60</v>
      </c>
      <c r="F20" s="21" t="n">
        <v>0.25</v>
      </c>
      <c r="G20" s="21" t="n">
        <v>0.25</v>
      </c>
      <c r="H20" s="21" t="n">
        <v>0.25</v>
      </c>
      <c r="I20" s="21" t="n">
        <v>0.25</v>
      </c>
      <c r="J20" s="21" t="n">
        <v>0.25</v>
      </c>
      <c r="K20" s="20" t="s">
        <v>61</v>
      </c>
    </row>
    <row r="23" customFormat="false" ht="19.5" hidden="false" customHeight="true" outlineLevel="0" collapsed="false">
      <c r="B23" s="16" t="s">
        <v>62</v>
      </c>
      <c r="C23" s="16"/>
      <c r="D23" s="16"/>
      <c r="E23" s="16"/>
      <c r="F23" s="16"/>
      <c r="G23" s="16"/>
      <c r="H23" s="16"/>
      <c r="I23" s="16"/>
      <c r="J23" s="16"/>
    </row>
    <row r="24" customFormat="false" ht="18" hidden="false" customHeight="true" outlineLevel="0" collapsed="false">
      <c r="B24" s="24" t="s">
        <v>63</v>
      </c>
      <c r="C24" s="27" t="n">
        <v>2024</v>
      </c>
      <c r="D24" s="25"/>
      <c r="E24" s="25"/>
    </row>
    <row r="25" customFormat="false" ht="18" hidden="false" customHeight="true" outlineLevel="0" collapsed="false">
      <c r="B25" s="17" t="s">
        <v>64</v>
      </c>
      <c r="C25" s="28" t="n">
        <v>10</v>
      </c>
      <c r="K25" s="20" t="s">
        <v>65</v>
      </c>
    </row>
    <row r="26" customFormat="false" ht="18" hidden="false" customHeight="true" outlineLevel="0" collapsed="false">
      <c r="B26" s="24" t="s">
        <v>66</v>
      </c>
      <c r="C26" s="29" t="n">
        <f aca="false">C9*C25</f>
        <v>8400</v>
      </c>
      <c r="D26" s="25"/>
      <c r="E26" s="25"/>
    </row>
    <row r="27" customFormat="false" ht="7.5" hidden="false" customHeight="true" outlineLevel="0" collapsed="false"/>
    <row r="28" customFormat="false" ht="18" hidden="false" customHeight="true" outlineLevel="0" collapsed="false">
      <c r="B28" s="24" t="s">
        <v>67</v>
      </c>
      <c r="C28" s="26" t="n">
        <v>0.4</v>
      </c>
      <c r="D28" s="25"/>
      <c r="E28" s="25"/>
      <c r="K28" s="20" t="s">
        <v>68</v>
      </c>
    </row>
    <row r="29" customFormat="false" ht="18" hidden="false" customHeight="true" outlineLevel="0" collapsed="false">
      <c r="B29" s="17" t="s">
        <v>69</v>
      </c>
      <c r="C29" s="21" t="n">
        <v>0.4</v>
      </c>
    </row>
    <row r="30" customFormat="false" ht="18" hidden="false" customHeight="true" outlineLevel="0" collapsed="false">
      <c r="B30" s="24" t="s">
        <v>70</v>
      </c>
      <c r="C30" s="26" t="n">
        <v>0.2</v>
      </c>
      <c r="D30" s="25"/>
      <c r="E30" s="25"/>
    </row>
    <row r="31" customFormat="false" ht="7.5" hidden="false" customHeight="true" outlineLevel="0" collapsed="false"/>
    <row r="32" customFormat="false" ht="18" hidden="false" customHeight="true" outlineLevel="0" collapsed="false">
      <c r="B32" s="24" t="s">
        <v>71</v>
      </c>
      <c r="C32" s="29" t="n">
        <f aca="false">C26*C28</f>
        <v>3360</v>
      </c>
      <c r="D32" s="25"/>
      <c r="E32" s="25"/>
    </row>
    <row r="33" customFormat="false" ht="18" hidden="false" customHeight="true" outlineLevel="0" collapsed="false">
      <c r="B33" s="17" t="s">
        <v>72</v>
      </c>
      <c r="C33" s="30" t="n">
        <f aca="false">C26*C29</f>
        <v>3360</v>
      </c>
    </row>
    <row r="34" customFormat="false" ht="18" hidden="false" customHeight="true" outlineLevel="0" collapsed="false">
      <c r="B34" s="24" t="s">
        <v>73</v>
      </c>
      <c r="C34" s="29" t="n">
        <f aca="false">C26*C30</f>
        <v>1680</v>
      </c>
      <c r="D34" s="25"/>
      <c r="E34" s="25"/>
    </row>
    <row r="35" customFormat="false" ht="18" hidden="false" customHeight="true" outlineLevel="0" collapsed="false">
      <c r="B35" s="17" t="s">
        <v>74</v>
      </c>
      <c r="C35" s="30" t="n">
        <f aca="false">C33+C34</f>
        <v>5040</v>
      </c>
    </row>
    <row r="36" customFormat="false" ht="7.5" hidden="false" customHeight="true" outlineLevel="0" collapsed="false"/>
    <row r="37" customFormat="false" ht="18" hidden="false" customHeight="true" outlineLevel="0" collapsed="false">
      <c r="B37" s="17" t="s">
        <v>75</v>
      </c>
      <c r="C37" s="21" t="n">
        <v>0.075</v>
      </c>
      <c r="K37" s="20" t="s">
        <v>76</v>
      </c>
    </row>
    <row r="38" customFormat="false" ht="18" hidden="false" customHeight="true" outlineLevel="0" collapsed="false">
      <c r="B38" s="24" t="s">
        <v>77</v>
      </c>
      <c r="C38" s="26" t="n">
        <v>0.105</v>
      </c>
      <c r="D38" s="25"/>
      <c r="E38" s="25"/>
      <c r="K38" s="20" t="s">
        <v>78</v>
      </c>
    </row>
    <row r="39" customFormat="false" ht="18" hidden="false" customHeight="true" outlineLevel="0" collapsed="false">
      <c r="B39" s="17" t="s">
        <v>79</v>
      </c>
      <c r="C39" s="21" t="n">
        <v>0.1</v>
      </c>
      <c r="K39" s="20" t="s">
        <v>80</v>
      </c>
    </row>
    <row r="40" customFormat="false" ht="7.5" hidden="false" customHeight="true" outlineLevel="0" collapsed="false"/>
    <row r="41" customFormat="false" ht="18" hidden="false" customHeight="true" outlineLevel="0" collapsed="false">
      <c r="B41" s="17" t="s">
        <v>81</v>
      </c>
      <c r="C41" s="18" t="n">
        <v>2029</v>
      </c>
    </row>
    <row r="42" customFormat="false" ht="18" hidden="false" customHeight="true" outlineLevel="0" collapsed="false">
      <c r="B42" s="24" t="s">
        <v>82</v>
      </c>
      <c r="C42" s="31" t="n">
        <v>10</v>
      </c>
      <c r="D42" s="25"/>
      <c r="E42" s="25"/>
      <c r="K42" s="20" t="s">
        <v>83</v>
      </c>
    </row>
  </sheetData>
  <mergeCells count="5">
    <mergeCell ref="B1:E1"/>
    <mergeCell ref="B2:E2"/>
    <mergeCell ref="B4:E4"/>
    <mergeCell ref="B13:E13"/>
    <mergeCell ref="B23:J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I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32"/>
    <col collapsed="false" customWidth="true" hidden="false" outlineLevel="0" max="3" min="3" style="1" width="6"/>
    <col collapsed="false" customWidth="true" hidden="false" outlineLevel="0" max="9" min="4" style="1" width="16"/>
  </cols>
  <sheetData>
    <row r="1" customFormat="false" ht="30" hidden="false" customHeight="true" outlineLevel="0" collapsed="false">
      <c r="B1" s="13" t="s">
        <v>84</v>
      </c>
      <c r="C1" s="13"/>
      <c r="D1" s="13"/>
      <c r="E1" s="13"/>
      <c r="F1" s="13"/>
      <c r="G1" s="13"/>
      <c r="H1" s="13"/>
      <c r="I1" s="13"/>
    </row>
    <row r="2" customFormat="false" ht="19.5" hidden="false" customHeight="true" outlineLevel="0" collapsed="false">
      <c r="B2" s="32" t="s">
        <v>85</v>
      </c>
      <c r="C2" s="33" t="s">
        <v>86</v>
      </c>
      <c r="D2" s="23" t="s">
        <v>87</v>
      </c>
      <c r="E2" s="23" t="s">
        <v>45</v>
      </c>
      <c r="F2" s="23" t="s">
        <v>46</v>
      </c>
      <c r="G2" s="23" t="s">
        <v>47</v>
      </c>
      <c r="H2" s="23" t="s">
        <v>48</v>
      </c>
      <c r="I2" s="23" t="s">
        <v>49</v>
      </c>
    </row>
    <row r="3" customFormat="false" ht="18" hidden="false" customHeight="true" outlineLevel="0" collapsed="false">
      <c r="B3" s="34" t="s">
        <v>88</v>
      </c>
      <c r="C3" s="35" t="s">
        <v>89</v>
      </c>
      <c r="D3" s="36" t="n">
        <f aca="false">Assumptions!C8</f>
        <v>4150</v>
      </c>
      <c r="E3" s="37" t="n">
        <f aca="false">D3*(1+Assumptions!F15)</f>
        <v>4523.5</v>
      </c>
      <c r="F3" s="37" t="n">
        <f aca="false">E3*(1+Assumptions!G15)</f>
        <v>5021.085</v>
      </c>
      <c r="G3" s="37" t="n">
        <f aca="false">F3*(1+Assumptions!H15)</f>
        <v>5573.40435</v>
      </c>
      <c r="H3" s="37" t="n">
        <f aca="false">G3*(1+Assumptions!I15)</f>
        <v>6130.744785</v>
      </c>
      <c r="I3" s="37" t="n">
        <f aca="false">H3*(1+Assumptions!J15)</f>
        <v>6682.51181565</v>
      </c>
    </row>
    <row r="4" customFormat="false" ht="18" hidden="false" customHeight="true" outlineLevel="0" collapsed="false">
      <c r="B4" s="17" t="s">
        <v>90</v>
      </c>
      <c r="C4" s="38" t="s">
        <v>91</v>
      </c>
      <c r="E4" s="39" t="n">
        <f aca="false">Assumptions!F15</f>
        <v>0.09</v>
      </c>
      <c r="F4" s="39" t="n">
        <f aca="false">Assumptions!G15</f>
        <v>0.11</v>
      </c>
      <c r="G4" s="39" t="n">
        <f aca="false">Assumptions!H15</f>
        <v>0.11</v>
      </c>
      <c r="H4" s="39" t="n">
        <f aca="false">Assumptions!I15</f>
        <v>0.1</v>
      </c>
      <c r="I4" s="39" t="n">
        <f aca="false">Assumptions!J15</f>
        <v>0.09</v>
      </c>
    </row>
    <row r="5" customFormat="false" ht="18" hidden="false" customHeight="true" outlineLevel="0" collapsed="false">
      <c r="B5" s="17"/>
      <c r="C5" s="38"/>
    </row>
    <row r="6" customFormat="false" ht="18" hidden="false" customHeight="true" outlineLevel="0" collapsed="false">
      <c r="B6" s="34" t="s">
        <v>92</v>
      </c>
      <c r="C6" s="35" t="s">
        <v>93</v>
      </c>
      <c r="D6" s="36" t="n">
        <f aca="false">Assumptions!C9</f>
        <v>840</v>
      </c>
      <c r="E6" s="40" t="n">
        <f aca="false">E3*Assumptions!F16</f>
        <v>972.5525</v>
      </c>
      <c r="F6" s="40" t="n">
        <f aca="false">F3*Assumptions!G16</f>
        <v>1129.744125</v>
      </c>
      <c r="G6" s="40" t="n">
        <f aca="false">G3*Assumptions!H16</f>
        <v>1309.75002225</v>
      </c>
      <c r="H6" s="40" t="n">
        <f aca="false">H3*Assumptions!I16</f>
        <v>1471.3787484</v>
      </c>
      <c r="I6" s="40" t="n">
        <f aca="false">I3*Assumptions!J16</f>
        <v>1670.6279539125</v>
      </c>
    </row>
    <row r="7" customFormat="false" ht="18" hidden="false" customHeight="true" outlineLevel="0" collapsed="false">
      <c r="B7" s="17" t="s">
        <v>94</v>
      </c>
      <c r="C7" s="38" t="s">
        <v>91</v>
      </c>
      <c r="E7" s="39" t="n">
        <f aca="false">Assumptions!F16</f>
        <v>0.215</v>
      </c>
      <c r="F7" s="39" t="n">
        <f aca="false">Assumptions!G16</f>
        <v>0.225</v>
      </c>
      <c r="G7" s="39" t="n">
        <f aca="false">Assumptions!H16</f>
        <v>0.235</v>
      </c>
      <c r="H7" s="39" t="n">
        <f aca="false">Assumptions!I16</f>
        <v>0.24</v>
      </c>
      <c r="I7" s="39" t="n">
        <f aca="false">Assumptions!J16</f>
        <v>0.25</v>
      </c>
    </row>
    <row r="8" customFormat="false" ht="18" hidden="false" customHeight="true" outlineLevel="0" collapsed="false">
      <c r="B8" s="17" t="s">
        <v>95</v>
      </c>
      <c r="C8" s="38" t="s">
        <v>96</v>
      </c>
      <c r="E8" s="30" t="n">
        <f aca="false">E3*Assumptions!F17</f>
        <v>189.987</v>
      </c>
      <c r="F8" s="30" t="n">
        <f aca="false">F3*Assumptions!G17</f>
        <v>205.864485</v>
      </c>
      <c r="G8" s="30" t="n">
        <f aca="false">G3*Assumptions!H17</f>
        <v>222.936174</v>
      </c>
      <c r="H8" s="30" t="n">
        <f aca="false">H3*Assumptions!I17</f>
        <v>245.2297914</v>
      </c>
      <c r="I8" s="30" t="n">
        <f aca="false">I3*Assumptions!J17</f>
        <v>260.61796081035</v>
      </c>
    </row>
    <row r="9" customFormat="false" ht="18" hidden="false" customHeight="true" outlineLevel="0" collapsed="false">
      <c r="B9" s="34" t="s">
        <v>97</v>
      </c>
      <c r="C9" s="35" t="s">
        <v>98</v>
      </c>
      <c r="D9" s="41"/>
      <c r="E9" s="40" t="n">
        <f aca="false">E6-E8</f>
        <v>782.5655</v>
      </c>
      <c r="F9" s="40" t="n">
        <f aca="false">F6-F8</f>
        <v>923.87964</v>
      </c>
      <c r="G9" s="40" t="n">
        <f aca="false">G6-G8</f>
        <v>1086.81384825</v>
      </c>
      <c r="H9" s="40" t="n">
        <f aca="false">H6-H8</f>
        <v>1226.148957</v>
      </c>
      <c r="I9" s="40" t="n">
        <f aca="false">I6-I8</f>
        <v>1410.00999310215</v>
      </c>
    </row>
    <row r="10" customFormat="false" ht="18" hidden="false" customHeight="true" outlineLevel="0" collapsed="false">
      <c r="B10" s="17" t="s">
        <v>99</v>
      </c>
      <c r="C10" s="38" t="s">
        <v>100</v>
      </c>
      <c r="E10" s="42" t="n">
        <f aca="false">'Debt Schedule'!D15</f>
        <v>415.8</v>
      </c>
      <c r="F10" s="42" t="n">
        <f aca="false">'Debt Schedule'!E15</f>
        <v>390.6</v>
      </c>
      <c r="G10" s="42" t="n">
        <f aca="false">'Debt Schedule'!F15</f>
        <v>365.4</v>
      </c>
      <c r="H10" s="42" t="n">
        <f aca="false">'Debt Schedule'!G15</f>
        <v>334.952365734844</v>
      </c>
      <c r="I10" s="42" t="n">
        <f aca="false">'Debt Schedule'!H15</f>
        <v>294.234355303168</v>
      </c>
    </row>
    <row r="11" customFormat="false" ht="18" hidden="false" customHeight="true" outlineLevel="0" collapsed="false">
      <c r="B11" s="34" t="s">
        <v>101</v>
      </c>
      <c r="C11" s="35" t="s">
        <v>102</v>
      </c>
      <c r="D11" s="41"/>
      <c r="E11" s="40" t="n">
        <f aca="false">E9-E10</f>
        <v>366.7655</v>
      </c>
      <c r="F11" s="40" t="n">
        <f aca="false">F9-F10</f>
        <v>533.27964</v>
      </c>
      <c r="G11" s="40" t="n">
        <f aca="false">G9-G10</f>
        <v>721.41384825</v>
      </c>
      <c r="H11" s="40" t="n">
        <f aca="false">H9-H10</f>
        <v>891.196591265157</v>
      </c>
      <c r="I11" s="40" t="n">
        <f aca="false">I9-I10</f>
        <v>1115.77563779898</v>
      </c>
    </row>
    <row r="12" customFormat="false" ht="18" hidden="false" customHeight="true" outlineLevel="0" collapsed="false">
      <c r="B12" s="17" t="s">
        <v>103</v>
      </c>
      <c r="C12" s="38" t="s">
        <v>104</v>
      </c>
      <c r="E12" s="30" t="n">
        <f aca="false">MAX(E11,0)*Assumptions!F20</f>
        <v>91.691375</v>
      </c>
      <c r="F12" s="30" t="n">
        <f aca="false">MAX(F11,0)*Assumptions!G20</f>
        <v>133.31991</v>
      </c>
      <c r="G12" s="30" t="n">
        <f aca="false">MAX(G11,0)*Assumptions!H20</f>
        <v>180.3534620625</v>
      </c>
      <c r="H12" s="30" t="n">
        <f aca="false">MAX(H11,0)*Assumptions!I20</f>
        <v>222.799147816289</v>
      </c>
      <c r="I12" s="30" t="n">
        <f aca="false">MAX(I11,0)*Assumptions!J20</f>
        <v>278.943909449746</v>
      </c>
    </row>
    <row r="13" customFormat="false" ht="18" hidden="false" customHeight="true" outlineLevel="0" collapsed="false">
      <c r="B13" s="43" t="s">
        <v>105</v>
      </c>
      <c r="C13" s="44" t="s">
        <v>106</v>
      </c>
      <c r="D13" s="45"/>
      <c r="E13" s="46" t="n">
        <f aca="false">E11-E12</f>
        <v>275.074125</v>
      </c>
      <c r="F13" s="46" t="n">
        <f aca="false">F11-F12</f>
        <v>399.95973</v>
      </c>
      <c r="G13" s="46" t="n">
        <f aca="false">G11-G12</f>
        <v>541.0603861875</v>
      </c>
      <c r="H13" s="46" t="n">
        <f aca="false">H11-H12</f>
        <v>668.397443448867</v>
      </c>
      <c r="I13" s="46" t="n">
        <f aca="false">I11-I12</f>
        <v>836.831728349237</v>
      </c>
    </row>
  </sheetData>
  <mergeCells count="1">
    <mergeCell ref="B1:I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I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34"/>
    <col collapsed="false" customWidth="true" hidden="false" outlineLevel="0" max="3" min="3" style="1" width="6"/>
    <col collapsed="false" customWidth="true" hidden="false" outlineLevel="0" max="9" min="4" style="1" width="16"/>
  </cols>
  <sheetData>
    <row r="1" customFormat="false" ht="30" hidden="false" customHeight="true" outlineLevel="0" collapsed="false">
      <c r="B1" s="13" t="s">
        <v>107</v>
      </c>
      <c r="C1" s="13"/>
      <c r="D1" s="13"/>
      <c r="E1" s="13"/>
      <c r="F1" s="13"/>
      <c r="G1" s="13"/>
      <c r="H1" s="13"/>
      <c r="I1" s="13"/>
    </row>
    <row r="2" customFormat="false" ht="19.5" hidden="false" customHeight="true" outlineLevel="0" collapsed="false">
      <c r="B2" s="32" t="s">
        <v>85</v>
      </c>
      <c r="C2" s="33" t="s">
        <v>86</v>
      </c>
      <c r="D2" s="23" t="s">
        <v>87</v>
      </c>
      <c r="E2" s="23" t="s">
        <v>45</v>
      </c>
      <c r="F2" s="23" t="s">
        <v>46</v>
      </c>
      <c r="G2" s="23" t="s">
        <v>47</v>
      </c>
      <c r="H2" s="23" t="s">
        <v>48</v>
      </c>
      <c r="I2" s="23" t="s">
        <v>49</v>
      </c>
    </row>
    <row r="3" customFormat="false" ht="18" hidden="false" customHeight="true" outlineLevel="0" collapsed="false">
      <c r="B3" s="34" t="s">
        <v>105</v>
      </c>
      <c r="C3" s="35" t="s">
        <v>108</v>
      </c>
      <c r="D3" s="47" t="n">
        <v>0</v>
      </c>
      <c r="E3" s="48" t="n">
        <f aca="false">'Income Statement'!E13</f>
        <v>275.074125</v>
      </c>
      <c r="F3" s="48" t="n">
        <f aca="false">'Income Statement'!F13</f>
        <v>399.95973</v>
      </c>
      <c r="G3" s="48" t="n">
        <f aca="false">'Income Statement'!G13</f>
        <v>541.0603861875</v>
      </c>
      <c r="H3" s="48" t="n">
        <f aca="false">'Income Statement'!H13</f>
        <v>668.397443448867</v>
      </c>
      <c r="I3" s="48" t="n">
        <f aca="false">'Income Statement'!I13</f>
        <v>836.831728349237</v>
      </c>
    </row>
    <row r="4" customFormat="false" ht="18" hidden="false" customHeight="true" outlineLevel="0" collapsed="false">
      <c r="B4" s="17" t="s">
        <v>109</v>
      </c>
      <c r="C4" s="38" t="s">
        <v>110</v>
      </c>
      <c r="D4" s="49" t="n">
        <v>0</v>
      </c>
      <c r="E4" s="42" t="n">
        <f aca="false">'Income Statement'!E8</f>
        <v>189.987</v>
      </c>
      <c r="F4" s="42" t="n">
        <f aca="false">'Income Statement'!F8</f>
        <v>205.864485</v>
      </c>
      <c r="G4" s="42" t="n">
        <f aca="false">'Income Statement'!G8</f>
        <v>222.936174</v>
      </c>
      <c r="H4" s="42" t="n">
        <f aca="false">'Income Statement'!H8</f>
        <v>245.2297914</v>
      </c>
      <c r="I4" s="42" t="n">
        <f aca="false">'Income Statement'!I8</f>
        <v>260.61796081035</v>
      </c>
    </row>
    <row r="5" customFormat="false" ht="18" hidden="false" customHeight="true" outlineLevel="0" collapsed="false">
      <c r="B5" s="17" t="s">
        <v>111</v>
      </c>
      <c r="C5" s="38" t="s">
        <v>112</v>
      </c>
      <c r="D5" s="49" t="n">
        <v>0</v>
      </c>
      <c r="E5" s="30" t="n">
        <f aca="false">-'Income Statement'!E3*Assumptions!F18</f>
        <v>-248.7925</v>
      </c>
      <c r="F5" s="30" t="n">
        <f aca="false">-'Income Statement'!F3*Assumptions!G18</f>
        <v>-266.117505</v>
      </c>
      <c r="G5" s="30" t="n">
        <f aca="false">-'Income Statement'!G3*Assumptions!H18</f>
        <v>-278.6702175</v>
      </c>
      <c r="H5" s="30" t="n">
        <f aca="false">-'Income Statement'!H3*Assumptions!I18</f>
        <v>-294.27574968</v>
      </c>
      <c r="I5" s="30" t="n">
        <f aca="false">-'Income Statement'!I3*Assumptions!J18</f>
        <v>-300.71303170425</v>
      </c>
    </row>
    <row r="6" customFormat="false" ht="18" hidden="false" customHeight="true" outlineLevel="0" collapsed="false">
      <c r="B6" s="17" t="s">
        <v>113</v>
      </c>
      <c r="C6" s="38" t="s">
        <v>114</v>
      </c>
      <c r="E6" s="30" t="n">
        <f aca="false">-('Income Statement'!E3-'Income Statement'!D3)*Assumptions!F19</f>
        <v>-6.723</v>
      </c>
      <c r="F6" s="30" t="n">
        <f aca="false">-('Income Statement'!F3-'Income Statement'!E3)*Assumptions!G19</f>
        <v>-8.95653</v>
      </c>
      <c r="G6" s="30" t="n">
        <f aca="false">-('Income Statement'!G3-'Income Statement'!F3)*Assumptions!H19</f>
        <v>-9.38942895000001</v>
      </c>
      <c r="H6" s="30" t="n">
        <f aca="false">-('Income Statement'!H3-'Income Statement'!G3)*Assumptions!I19</f>
        <v>-9.47478739500002</v>
      </c>
      <c r="I6" s="30" t="n">
        <f aca="false">-('Income Statement'!I3-'Income Statement'!H3)*Assumptions!J19</f>
        <v>-8.82827249040001</v>
      </c>
    </row>
    <row r="7" customFormat="false" ht="18" hidden="false" customHeight="true" outlineLevel="0" collapsed="false">
      <c r="B7" s="50" t="s">
        <v>115</v>
      </c>
      <c r="C7" s="51" t="s">
        <v>116</v>
      </c>
      <c r="D7" s="52"/>
      <c r="E7" s="53" t="n">
        <f aca="false">SUM(E3:E6)</f>
        <v>209.545625</v>
      </c>
      <c r="F7" s="53" t="n">
        <f aca="false">SUM(F3:F6)</f>
        <v>330.75018</v>
      </c>
      <c r="G7" s="53" t="n">
        <f aca="false">SUM(G3:G6)</f>
        <v>475.9369137375</v>
      </c>
      <c r="H7" s="53" t="n">
        <f aca="false">SUM(H3:H6)</f>
        <v>609.876697773867</v>
      </c>
      <c r="I7" s="53" t="n">
        <f aca="false">SUM(I3:I6)</f>
        <v>787.908384964937</v>
      </c>
    </row>
    <row r="8" customFormat="false" ht="18" hidden="false" customHeight="true" outlineLevel="0" collapsed="false">
      <c r="B8" s="17" t="s">
        <v>117</v>
      </c>
      <c r="C8" s="38" t="s">
        <v>118</v>
      </c>
      <c r="E8" s="42" t="n">
        <f aca="false">'Debt Schedule'!D4</f>
        <v>-336</v>
      </c>
      <c r="F8" s="42" t="n">
        <f aca="false">'Debt Schedule'!E4</f>
        <v>-336</v>
      </c>
      <c r="G8" s="42" t="n">
        <f aca="false">'Debt Schedule'!F4</f>
        <v>-336</v>
      </c>
      <c r="H8" s="42" t="n">
        <f aca="false">'Debt Schedule'!G4</f>
        <v>-336</v>
      </c>
      <c r="I8" s="42" t="n">
        <f aca="false">'Debt Schedule'!H4</f>
        <v>-336</v>
      </c>
    </row>
    <row r="9" customFormat="false" ht="18" hidden="false" customHeight="true" outlineLevel="0" collapsed="false">
      <c r="B9" s="43" t="s">
        <v>119</v>
      </c>
      <c r="C9" s="44" t="s">
        <v>120</v>
      </c>
      <c r="D9" s="45"/>
      <c r="E9" s="46" t="n">
        <f aca="false">E7+E8</f>
        <v>-126.454375</v>
      </c>
      <c r="F9" s="46" t="n">
        <f aca="false">F7+F8</f>
        <v>-5.24982000000006</v>
      </c>
      <c r="G9" s="46" t="n">
        <f aca="false">G7+G8</f>
        <v>139.9369137375</v>
      </c>
      <c r="H9" s="46" t="n">
        <f aca="false">H7+H8</f>
        <v>273.876697773867</v>
      </c>
      <c r="I9" s="46" t="n">
        <f aca="false">I7+I8</f>
        <v>451.908384964937</v>
      </c>
    </row>
  </sheetData>
  <mergeCells count="1">
    <mergeCell ref="B1:I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36"/>
    <col collapsed="false" customWidth="true" hidden="false" outlineLevel="0" max="3" min="3" style="1" width="6"/>
    <col collapsed="false" customWidth="true" hidden="false" outlineLevel="0" max="8" min="4" style="1" width="16"/>
  </cols>
  <sheetData>
    <row r="1" customFormat="false" ht="30" hidden="false" customHeight="true" outlineLevel="0" collapsed="false">
      <c r="B1" s="13" t="s">
        <v>121</v>
      </c>
      <c r="C1" s="13"/>
      <c r="D1" s="13"/>
      <c r="E1" s="13"/>
      <c r="F1" s="13"/>
      <c r="G1" s="13"/>
      <c r="H1" s="13"/>
    </row>
    <row r="2" customFormat="false" ht="18" hidden="false" customHeight="true" outlineLevel="0" collapsed="false">
      <c r="B2" s="16" t="s">
        <v>122</v>
      </c>
      <c r="C2" s="16"/>
      <c r="D2" s="16"/>
      <c r="E2" s="16"/>
      <c r="F2" s="16"/>
      <c r="G2" s="16"/>
      <c r="H2" s="16"/>
    </row>
    <row r="3" customFormat="false" ht="18" hidden="false" customHeight="true" outlineLevel="0" collapsed="false">
      <c r="B3" s="34" t="s">
        <v>123</v>
      </c>
      <c r="C3" s="41"/>
      <c r="D3" s="48" t="n">
        <f aca="false">Assumptions!C33</f>
        <v>3360</v>
      </c>
      <c r="E3" s="37" t="n">
        <f aca="false">D6</f>
        <v>3024</v>
      </c>
      <c r="F3" s="37" t="n">
        <f aca="false">E6</f>
        <v>2688</v>
      </c>
      <c r="G3" s="37" t="n">
        <f aca="false">F6</f>
        <v>2352</v>
      </c>
      <c r="H3" s="37" t="n">
        <f aca="false">G6</f>
        <v>1876.0630862625</v>
      </c>
    </row>
    <row r="4" customFormat="false" ht="18" hidden="false" customHeight="true" outlineLevel="0" collapsed="false">
      <c r="B4" s="17" t="s">
        <v>124</v>
      </c>
      <c r="D4" s="30" t="n">
        <f aca="false">-Assumptions!C33*Assumptions!C39</f>
        <v>-336</v>
      </c>
      <c r="E4" s="30" t="n">
        <f aca="false">-Assumptions!C33*Assumptions!C39</f>
        <v>-336</v>
      </c>
      <c r="F4" s="30" t="n">
        <f aca="false">-Assumptions!C33*Assumptions!C39</f>
        <v>-336</v>
      </c>
      <c r="G4" s="30" t="n">
        <f aca="false">-Assumptions!C33*Assumptions!C39</f>
        <v>-336</v>
      </c>
      <c r="H4" s="30" t="n">
        <f aca="false">-Assumptions!C33*Assumptions!C39</f>
        <v>-336</v>
      </c>
    </row>
    <row r="5" customFormat="false" ht="18" hidden="false" customHeight="true" outlineLevel="0" collapsed="false">
      <c r="B5" s="17" t="s">
        <v>125</v>
      </c>
      <c r="D5" s="30" t="n">
        <f aca="false">-MIN(MAX('Cash Flow'!D9,0),D3+D4)</f>
        <v>-0</v>
      </c>
      <c r="E5" s="30" t="n">
        <f aca="false">-MIN(MAX('Cash Flow'!E9,0),E3+E4)</f>
        <v>-0</v>
      </c>
      <c r="F5" s="30" t="n">
        <f aca="false">-MIN(MAX('Cash Flow'!F9,0),F3+F4)</f>
        <v>-0</v>
      </c>
      <c r="G5" s="30" t="n">
        <f aca="false">-MIN(MAX('Cash Flow'!G9,0),G3+G4)</f>
        <v>-139.9369137375</v>
      </c>
      <c r="H5" s="30" t="n">
        <f aca="false">-MIN(MAX('Cash Flow'!H9,0),H3+H4)</f>
        <v>-273.876697773867</v>
      </c>
    </row>
    <row r="6" customFormat="false" ht="18" hidden="false" customHeight="true" outlineLevel="0" collapsed="false">
      <c r="B6" s="34" t="s">
        <v>126</v>
      </c>
      <c r="C6" s="41"/>
      <c r="D6" s="40" t="n">
        <f aca="false">D3+D4+D5</f>
        <v>3024</v>
      </c>
      <c r="E6" s="40" t="n">
        <f aca="false">E3+E4+E5</f>
        <v>2688</v>
      </c>
      <c r="F6" s="40" t="n">
        <f aca="false">F3+F4+F5</f>
        <v>2352</v>
      </c>
      <c r="G6" s="40" t="n">
        <f aca="false">G3+G4+G5</f>
        <v>1876.0630862625</v>
      </c>
      <c r="H6" s="40" t="n">
        <f aca="false">H3+H4+H5</f>
        <v>1266.18638848863</v>
      </c>
    </row>
    <row r="7" customFormat="false" ht="18" hidden="false" customHeight="true" outlineLevel="0" collapsed="false">
      <c r="B7" s="54" t="s">
        <v>127</v>
      </c>
      <c r="C7" s="45"/>
      <c r="D7" s="55" t="n">
        <f aca="false">AVERAGE(D3,D6)*Assumptions!C37</f>
        <v>239.4</v>
      </c>
      <c r="E7" s="55" t="n">
        <f aca="false">AVERAGE(E3,E6)*Assumptions!C37</f>
        <v>214.2</v>
      </c>
      <c r="F7" s="55" t="n">
        <f aca="false">AVERAGE(F3,F6)*Assumptions!C37</f>
        <v>189</v>
      </c>
      <c r="G7" s="55" t="n">
        <f aca="false">AVERAGE(G3,G6)*Assumptions!C37</f>
        <v>158.552365734844</v>
      </c>
      <c r="H7" s="55" t="n">
        <f aca="false">AVERAGE(H3,H6)*Assumptions!C37</f>
        <v>117.834355303167</v>
      </c>
    </row>
    <row r="8" customFormat="false" ht="18" hidden="false" customHeight="true" outlineLevel="0" collapsed="false">
      <c r="B8" s="16" t="s">
        <v>128</v>
      </c>
      <c r="C8" s="16"/>
      <c r="D8" s="16"/>
      <c r="E8" s="16"/>
      <c r="F8" s="16"/>
      <c r="G8" s="16"/>
      <c r="H8" s="16"/>
    </row>
    <row r="9" customFormat="false" ht="18" hidden="false" customHeight="true" outlineLevel="0" collapsed="false">
      <c r="B9" s="34" t="s">
        <v>123</v>
      </c>
      <c r="C9" s="41"/>
      <c r="D9" s="48" t="n">
        <f aca="false">Assumptions!C34</f>
        <v>1680</v>
      </c>
      <c r="E9" s="37" t="n">
        <f aca="false">D11</f>
        <v>1680</v>
      </c>
      <c r="F9" s="37" t="n">
        <f aca="false">E11</f>
        <v>1680</v>
      </c>
      <c r="G9" s="37" t="n">
        <f aca="false">F11</f>
        <v>1680</v>
      </c>
      <c r="H9" s="37" t="n">
        <f aca="false">G11</f>
        <v>1680</v>
      </c>
    </row>
    <row r="10" customFormat="false" ht="18" hidden="false" customHeight="true" outlineLevel="0" collapsed="false">
      <c r="B10" s="17" t="s">
        <v>129</v>
      </c>
      <c r="D10" s="19" t="n">
        <v>0</v>
      </c>
      <c r="E10" s="19" t="n">
        <v>0</v>
      </c>
      <c r="F10" s="19" t="n">
        <v>0</v>
      </c>
      <c r="G10" s="19" t="n">
        <v>0</v>
      </c>
      <c r="H10" s="19" t="n">
        <v>0</v>
      </c>
    </row>
    <row r="11" customFormat="false" ht="18" hidden="false" customHeight="true" outlineLevel="0" collapsed="false">
      <c r="B11" s="34" t="s">
        <v>126</v>
      </c>
      <c r="C11" s="41"/>
      <c r="D11" s="40" t="n">
        <f aca="false">D9+D10</f>
        <v>1680</v>
      </c>
      <c r="E11" s="40" t="n">
        <f aca="false">E9+E10</f>
        <v>1680</v>
      </c>
      <c r="F11" s="40" t="n">
        <f aca="false">F9+F10</f>
        <v>1680</v>
      </c>
      <c r="G11" s="40" t="n">
        <f aca="false">G9+G10</f>
        <v>1680</v>
      </c>
      <c r="H11" s="40" t="n">
        <f aca="false">H9+H10</f>
        <v>1680</v>
      </c>
    </row>
    <row r="12" customFormat="false" ht="18" hidden="false" customHeight="true" outlineLevel="0" collapsed="false">
      <c r="B12" s="54" t="s">
        <v>127</v>
      </c>
      <c r="C12" s="45"/>
      <c r="D12" s="55" t="n">
        <f aca="false">AVERAGE(D9,D11)*Assumptions!C38</f>
        <v>176.4</v>
      </c>
      <c r="E12" s="55" t="n">
        <f aca="false">AVERAGE(E9,E11)*Assumptions!C38</f>
        <v>176.4</v>
      </c>
      <c r="F12" s="55" t="n">
        <f aca="false">AVERAGE(F9,F11)*Assumptions!C38</f>
        <v>176.4</v>
      </c>
      <c r="G12" s="55" t="n">
        <f aca="false">AVERAGE(G9,G11)*Assumptions!C38</f>
        <v>176.4</v>
      </c>
      <c r="H12" s="55" t="n">
        <f aca="false">AVERAGE(H9,H11)*Assumptions!C38</f>
        <v>176.4</v>
      </c>
    </row>
    <row r="13" customFormat="false" ht="18" hidden="false" customHeight="true" outlineLevel="0" collapsed="false">
      <c r="B13" s="16" t="s">
        <v>130</v>
      </c>
      <c r="C13" s="16"/>
      <c r="D13" s="16"/>
      <c r="E13" s="16"/>
      <c r="F13" s="16"/>
      <c r="G13" s="16"/>
      <c r="H13" s="16"/>
    </row>
    <row r="14" customFormat="false" ht="18" hidden="false" customHeight="true" outlineLevel="0" collapsed="false">
      <c r="B14" s="56" t="s">
        <v>131</v>
      </c>
      <c r="C14" s="45"/>
      <c r="D14" s="46" t="n">
        <f aca="false">D6+D11</f>
        <v>4704</v>
      </c>
      <c r="E14" s="46" t="n">
        <f aca="false">E6+E11</f>
        <v>4368</v>
      </c>
      <c r="F14" s="46" t="n">
        <f aca="false">F6+F11</f>
        <v>4032</v>
      </c>
      <c r="G14" s="46" t="n">
        <f aca="false">G6+G11</f>
        <v>3556.0630862625</v>
      </c>
      <c r="H14" s="46" t="n">
        <f aca="false">H6+H11</f>
        <v>2946.18638848863</v>
      </c>
    </row>
    <row r="15" customFormat="false" ht="18" hidden="false" customHeight="true" outlineLevel="0" collapsed="false">
      <c r="B15" s="56" t="s">
        <v>132</v>
      </c>
      <c r="C15" s="45"/>
      <c r="D15" s="46" t="n">
        <f aca="false">D7+D12</f>
        <v>415.8</v>
      </c>
      <c r="E15" s="46" t="n">
        <f aca="false">E7+E12</f>
        <v>390.6</v>
      </c>
      <c r="F15" s="46" t="n">
        <f aca="false">F7+F12</f>
        <v>365.4</v>
      </c>
      <c r="G15" s="46" t="n">
        <f aca="false">G7+G12</f>
        <v>334.952365734844</v>
      </c>
      <c r="H15" s="46" t="n">
        <f aca="false">H7+H12</f>
        <v>294.234355303168</v>
      </c>
    </row>
  </sheetData>
  <mergeCells count="4">
    <mergeCell ref="B1:H1"/>
    <mergeCell ref="B2:H2"/>
    <mergeCell ref="B8:H8"/>
    <mergeCell ref="B13:H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I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36"/>
    <col collapsed="false" customWidth="true" hidden="false" outlineLevel="0" max="3" min="3" style="1" width="6"/>
    <col collapsed="false" customWidth="true" hidden="false" outlineLevel="0" max="9" min="4" style="1" width="18"/>
  </cols>
  <sheetData>
    <row r="1" customFormat="false" ht="30" hidden="false" customHeight="true" outlineLevel="0" collapsed="false">
      <c r="B1" s="13" t="s">
        <v>133</v>
      </c>
      <c r="C1" s="13"/>
      <c r="D1" s="13"/>
      <c r="E1" s="13"/>
      <c r="F1" s="13"/>
      <c r="G1" s="13"/>
      <c r="H1" s="13"/>
      <c r="I1" s="13"/>
    </row>
    <row r="2" customFormat="false" ht="19.5" hidden="false" customHeight="true" outlineLevel="0" collapsed="false">
      <c r="D2" s="23" t="s">
        <v>134</v>
      </c>
      <c r="E2" s="23" t="s">
        <v>45</v>
      </c>
      <c r="F2" s="23" t="s">
        <v>46</v>
      </c>
      <c r="G2" s="23" t="s">
        <v>47</v>
      </c>
      <c r="H2" s="23" t="s">
        <v>48</v>
      </c>
      <c r="I2" s="23" t="s">
        <v>135</v>
      </c>
    </row>
    <row r="3" customFormat="false" ht="19.5" hidden="false" customHeight="true" outlineLevel="0" collapsed="false">
      <c r="B3" s="16" t="s">
        <v>136</v>
      </c>
      <c r="C3" s="16"/>
      <c r="D3" s="16"/>
      <c r="E3" s="16"/>
      <c r="F3" s="16"/>
      <c r="G3" s="16"/>
      <c r="H3" s="16"/>
      <c r="I3" s="16"/>
    </row>
    <row r="4" customFormat="false" ht="18" hidden="false" customHeight="true" outlineLevel="0" collapsed="false">
      <c r="B4" s="17" t="s">
        <v>137</v>
      </c>
      <c r="I4" s="42" t="n">
        <f aca="false">'Income Statement'!I6</f>
        <v>1670.6279539125</v>
      </c>
    </row>
    <row r="5" customFormat="false" ht="18" hidden="false" customHeight="true" outlineLevel="0" collapsed="false">
      <c r="B5" s="17" t="s">
        <v>138</v>
      </c>
      <c r="I5" s="57" t="n">
        <f aca="false">Assumptions!C42</f>
        <v>10</v>
      </c>
    </row>
    <row r="6" customFormat="false" ht="18" hidden="false" customHeight="true" outlineLevel="0" collapsed="false">
      <c r="B6" s="17" t="s">
        <v>139</v>
      </c>
      <c r="I6" s="30" t="n">
        <f aca="false">I4*I5</f>
        <v>16706.279539125</v>
      </c>
    </row>
    <row r="7" customFormat="false" ht="18" hidden="false" customHeight="true" outlineLevel="0" collapsed="false">
      <c r="B7" s="17" t="s">
        <v>140</v>
      </c>
      <c r="I7" s="30" t="n">
        <f aca="false">-'Debt Schedule'!H14</f>
        <v>-2946.18638848863</v>
      </c>
    </row>
    <row r="8" customFormat="false" ht="18" hidden="false" customHeight="true" outlineLevel="0" collapsed="false">
      <c r="B8" s="50" t="s">
        <v>141</v>
      </c>
      <c r="C8" s="52"/>
      <c r="D8" s="52"/>
      <c r="E8" s="52"/>
      <c r="F8" s="52"/>
      <c r="G8" s="52"/>
      <c r="H8" s="52"/>
      <c r="I8" s="53" t="n">
        <f aca="false">I6+I7</f>
        <v>13760.0931506364</v>
      </c>
    </row>
    <row r="10" customFormat="false" ht="19.5" hidden="false" customHeight="true" outlineLevel="0" collapsed="false">
      <c r="B10" s="16" t="s">
        <v>142</v>
      </c>
      <c r="C10" s="16"/>
      <c r="D10" s="16"/>
      <c r="E10" s="16"/>
      <c r="F10" s="16"/>
      <c r="G10" s="16"/>
      <c r="H10" s="16"/>
      <c r="I10" s="16"/>
    </row>
    <row r="11" customFormat="false" ht="18" hidden="false" customHeight="true" outlineLevel="0" collapsed="false">
      <c r="B11" s="43" t="s">
        <v>143</v>
      </c>
      <c r="C11" s="45"/>
      <c r="D11" s="46" t="n">
        <f aca="false">-Assumptions!C32</f>
        <v>-3360</v>
      </c>
      <c r="E11" s="58" t="n">
        <v>0</v>
      </c>
      <c r="F11" s="58" t="n">
        <v>0</v>
      </c>
      <c r="G11" s="58" t="n">
        <v>0</v>
      </c>
      <c r="H11" s="58" t="n">
        <v>0</v>
      </c>
      <c r="I11" s="46" t="n">
        <f aca="false">I8</f>
        <v>13760.0931506364</v>
      </c>
    </row>
    <row r="13" customFormat="false" ht="19.5" hidden="false" customHeight="true" outlineLevel="0" collapsed="false">
      <c r="B13" s="16" t="s">
        <v>144</v>
      </c>
      <c r="C13" s="16"/>
      <c r="D13" s="16"/>
      <c r="E13" s="16"/>
      <c r="F13" s="16"/>
      <c r="G13" s="16"/>
      <c r="H13" s="16"/>
      <c r="I13" s="16"/>
    </row>
    <row r="14" customFormat="false" ht="27.75" hidden="false" customHeight="true" outlineLevel="0" collapsed="false">
      <c r="B14" s="59" t="s">
        <v>145</v>
      </c>
      <c r="D14" s="60" t="n">
        <f aca="false">IRR(D11:I11)</f>
        <v>0.325734075982085</v>
      </c>
    </row>
    <row r="15" customFormat="false" ht="27.75" hidden="false" customHeight="true" outlineLevel="0" collapsed="false">
      <c r="B15" s="59" t="s">
        <v>146</v>
      </c>
      <c r="D15" s="61" t="n">
        <f aca="false">I11/-D11</f>
        <v>4.09526581864178</v>
      </c>
    </row>
    <row r="17" customFormat="false" ht="19.5" hidden="false" customHeight="true" outlineLevel="0" collapsed="false">
      <c r="B17" s="16" t="s">
        <v>147</v>
      </c>
      <c r="C17" s="16"/>
      <c r="D17" s="16"/>
      <c r="E17" s="16"/>
      <c r="F17" s="16"/>
      <c r="G17" s="16"/>
      <c r="H17" s="16"/>
      <c r="I17" s="16"/>
    </row>
    <row r="18" customFormat="false" ht="18" hidden="false" customHeight="true" outlineLevel="0" collapsed="false">
      <c r="B18" s="62" t="s">
        <v>148</v>
      </c>
      <c r="C18" s="52"/>
      <c r="D18" s="63" t="s">
        <v>149</v>
      </c>
      <c r="E18" s="52"/>
      <c r="F18" s="52"/>
      <c r="G18" s="52"/>
      <c r="H18" s="52"/>
      <c r="I18" s="52"/>
    </row>
    <row r="19" customFormat="false" ht="18" hidden="false" customHeight="true" outlineLevel="0" collapsed="false">
      <c r="B19" s="64" t="s">
        <v>150</v>
      </c>
      <c r="C19" s="45"/>
      <c r="D19" s="65" t="s">
        <v>151</v>
      </c>
      <c r="E19" s="45"/>
      <c r="F19" s="45"/>
      <c r="G19" s="45"/>
      <c r="H19" s="45"/>
      <c r="I19" s="45"/>
    </row>
    <row r="20" customFormat="false" ht="18" hidden="false" customHeight="true" outlineLevel="0" collapsed="false">
      <c r="B20" s="66" t="s">
        <v>152</v>
      </c>
      <c r="C20" s="25"/>
      <c r="D20" s="67" t="s">
        <v>153</v>
      </c>
      <c r="E20" s="25"/>
      <c r="F20" s="25"/>
      <c r="G20" s="25"/>
      <c r="H20" s="25"/>
      <c r="I20" s="25"/>
    </row>
    <row r="21" customFormat="false" ht="18" hidden="false" customHeight="true" outlineLevel="0" collapsed="false">
      <c r="B21" s="68" t="s">
        <v>154</v>
      </c>
      <c r="C21" s="69"/>
      <c r="D21" s="70" t="s">
        <v>155</v>
      </c>
      <c r="E21" s="69"/>
      <c r="F21" s="69"/>
      <c r="G21" s="69"/>
      <c r="H21" s="69"/>
      <c r="I21" s="69"/>
    </row>
    <row r="22" customFormat="false" ht="18" hidden="false" customHeight="true" outlineLevel="0" collapsed="false">
      <c r="B22" s="62" t="s">
        <v>156</v>
      </c>
      <c r="C22" s="52"/>
      <c r="D22" s="63" t="s">
        <v>157</v>
      </c>
      <c r="E22" s="52"/>
      <c r="F22" s="52"/>
      <c r="G22" s="52"/>
      <c r="H22" s="52"/>
      <c r="I22" s="52"/>
    </row>
    <row r="23" customFormat="false" ht="18" hidden="false" customHeight="true" outlineLevel="0" collapsed="false">
      <c r="B23" s="64" t="s">
        <v>158</v>
      </c>
      <c r="C23" s="45"/>
      <c r="D23" s="65" t="s">
        <v>159</v>
      </c>
      <c r="E23" s="45"/>
      <c r="F23" s="45"/>
      <c r="G23" s="45"/>
      <c r="H23" s="45"/>
      <c r="I23" s="45"/>
    </row>
    <row r="24" customFormat="false" ht="18" hidden="false" customHeight="true" outlineLevel="0" collapsed="false">
      <c r="B24" s="68" t="s">
        <v>160</v>
      </c>
      <c r="C24" s="69"/>
      <c r="D24" s="70" t="s">
        <v>161</v>
      </c>
      <c r="E24" s="69"/>
      <c r="F24" s="69"/>
      <c r="G24" s="69"/>
      <c r="H24" s="69"/>
      <c r="I24" s="69"/>
    </row>
  </sheetData>
  <mergeCells count="5">
    <mergeCell ref="B1:I1"/>
    <mergeCell ref="B3:I3"/>
    <mergeCell ref="B10:I10"/>
    <mergeCell ref="B13:I13"/>
    <mergeCell ref="B17:I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K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24"/>
    <col collapsed="false" customWidth="true" hidden="false" outlineLevel="0" max="3" min="3" style="1" width="6"/>
    <col collapsed="false" customWidth="true" hidden="false" outlineLevel="0" max="11" min="4" style="1" width="14"/>
  </cols>
  <sheetData>
    <row r="1" customFormat="false" ht="30" hidden="false" customHeight="true" outlineLevel="0" collapsed="false">
      <c r="B1" s="13" t="s">
        <v>162</v>
      </c>
      <c r="C1" s="13"/>
      <c r="D1" s="13"/>
      <c r="E1" s="13"/>
      <c r="F1" s="13"/>
      <c r="G1" s="13"/>
      <c r="H1" s="13"/>
      <c r="I1" s="13"/>
      <c r="J1" s="13"/>
      <c r="K1" s="13"/>
    </row>
    <row r="2" customFormat="false" ht="15" hidden="false" customHeight="true" outlineLevel="0" collapsed="false">
      <c r="B2" s="15" t="s">
        <v>163</v>
      </c>
      <c r="C2" s="15"/>
      <c r="D2" s="15"/>
      <c r="E2" s="15"/>
      <c r="F2" s="15"/>
      <c r="G2" s="15"/>
      <c r="H2" s="15"/>
      <c r="I2" s="15"/>
      <c r="J2" s="15"/>
      <c r="K2" s="15"/>
    </row>
    <row r="4" customFormat="false" ht="21.75" hidden="false" customHeight="true" outlineLevel="0" collapsed="false">
      <c r="B4" s="71" t="s">
        <v>164</v>
      </c>
      <c r="C4" s="71"/>
      <c r="D4" s="71" t="s">
        <v>165</v>
      </c>
      <c r="E4" s="71" t="s">
        <v>166</v>
      </c>
      <c r="F4" s="71" t="s">
        <v>167</v>
      </c>
      <c r="G4" s="71" t="s">
        <v>168</v>
      </c>
      <c r="H4" s="71" t="s">
        <v>169</v>
      </c>
      <c r="I4" s="71" t="s">
        <v>170</v>
      </c>
    </row>
    <row r="5" customFormat="false" ht="21.75" hidden="false" customHeight="true" outlineLevel="0" collapsed="false">
      <c r="B5" s="71"/>
      <c r="C5" s="71"/>
      <c r="D5" s="71"/>
      <c r="E5" s="71"/>
      <c r="F5" s="71"/>
      <c r="G5" s="71"/>
      <c r="H5" s="71"/>
      <c r="I5" s="71"/>
    </row>
    <row r="6" customFormat="false" ht="21.75" hidden="false" customHeight="true" outlineLevel="0" collapsed="false">
      <c r="B6" s="72" t="s">
        <v>165</v>
      </c>
      <c r="C6" s="72"/>
      <c r="D6" s="73" t="n">
        <v>0.262</v>
      </c>
      <c r="E6" s="74" t="n">
        <v>0.214</v>
      </c>
      <c r="F6" s="75" t="n">
        <v>0.172</v>
      </c>
      <c r="G6" s="76" t="n">
        <v>0.135</v>
      </c>
      <c r="H6" s="76" t="n">
        <v>0.101</v>
      </c>
      <c r="I6" s="76" t="n">
        <v>0.07</v>
      </c>
    </row>
    <row r="7" customFormat="false" ht="21.75" hidden="false" customHeight="true" outlineLevel="0" collapsed="false">
      <c r="B7" s="72" t="s">
        <v>166</v>
      </c>
      <c r="C7" s="72"/>
      <c r="D7" s="73" t="n">
        <v>0.298</v>
      </c>
      <c r="E7" s="74" t="n">
        <v>0.248</v>
      </c>
      <c r="F7" s="74" t="n">
        <v>0.204</v>
      </c>
      <c r="G7" s="75" t="n">
        <v>0.165</v>
      </c>
      <c r="H7" s="76" t="n">
        <v>0.13</v>
      </c>
      <c r="I7" s="76" t="n">
        <v>0.098</v>
      </c>
    </row>
    <row r="8" customFormat="false" ht="21.75" hidden="false" customHeight="true" outlineLevel="0" collapsed="false">
      <c r="B8" s="72" t="s">
        <v>167</v>
      </c>
      <c r="C8" s="72"/>
      <c r="D8" s="73" t="n">
        <v>0.329</v>
      </c>
      <c r="E8" s="73" t="n">
        <v>0.278</v>
      </c>
      <c r="F8" s="74" t="n">
        <v>0.233</v>
      </c>
      <c r="G8" s="75" t="n">
        <v>0.193</v>
      </c>
      <c r="H8" s="75" t="n">
        <v>0.157</v>
      </c>
      <c r="I8" s="76" t="n">
        <v>0.124</v>
      </c>
    </row>
    <row r="9" customFormat="false" ht="21.75" hidden="false" customHeight="true" outlineLevel="0" collapsed="false">
      <c r="B9" s="72" t="s">
        <v>168</v>
      </c>
      <c r="C9" s="72"/>
      <c r="D9" s="73" t="n">
        <v>0.357</v>
      </c>
      <c r="E9" s="73" t="n">
        <v>0.305</v>
      </c>
      <c r="F9" s="73" t="n">
        <v>0.259</v>
      </c>
      <c r="G9" s="74" t="n">
        <v>0.218</v>
      </c>
      <c r="H9" s="75" t="n">
        <v>0.181</v>
      </c>
      <c r="I9" s="76" t="n">
        <v>0.147</v>
      </c>
    </row>
    <row r="10" customFormat="false" ht="21.75" hidden="false" customHeight="true" outlineLevel="0" collapsed="false">
      <c r="B10" s="72" t="s">
        <v>169</v>
      </c>
      <c r="C10" s="72"/>
      <c r="D10" s="73" t="n">
        <v>0.383</v>
      </c>
      <c r="E10" s="73" t="n">
        <v>0.33</v>
      </c>
      <c r="F10" s="73" t="n">
        <v>0.283</v>
      </c>
      <c r="G10" s="74" t="n">
        <v>0.241</v>
      </c>
      <c r="H10" s="74" t="n">
        <v>0.204</v>
      </c>
      <c r="I10" s="75" t="n">
        <v>0.169</v>
      </c>
    </row>
    <row r="11" customFormat="false" ht="21.75" hidden="false" customHeight="true" outlineLevel="0" collapsed="false">
      <c r="B11" s="72" t="s">
        <v>170</v>
      </c>
      <c r="C11" s="72"/>
      <c r="D11" s="73" t="n">
        <v>0.406</v>
      </c>
      <c r="E11" s="73" t="n">
        <v>0.352</v>
      </c>
      <c r="F11" s="73" t="n">
        <v>0.305</v>
      </c>
      <c r="G11" s="73" t="n">
        <v>0.262</v>
      </c>
      <c r="H11" s="74" t="n">
        <v>0.224</v>
      </c>
      <c r="I11" s="75" t="n">
        <v>0.189</v>
      </c>
    </row>
    <row r="13" customFormat="false" ht="15" hidden="false" customHeight="true" outlineLevel="0" collapsed="false">
      <c r="B13" s="16" t="s">
        <v>171</v>
      </c>
      <c r="C13" s="16"/>
      <c r="D13" s="16"/>
      <c r="E13" s="16"/>
      <c r="F13" s="16"/>
      <c r="G13" s="16"/>
      <c r="H13" s="16"/>
      <c r="I13" s="16"/>
      <c r="J13" s="16"/>
      <c r="K13" s="16"/>
    </row>
    <row r="14" customFormat="false" ht="18" hidden="false" customHeight="true" outlineLevel="0" collapsed="false">
      <c r="B14" s="77" t="s">
        <v>172</v>
      </c>
      <c r="D14" s="78" t="s">
        <v>173</v>
      </c>
    </row>
    <row r="15" customFormat="false" ht="18" hidden="false" customHeight="true" outlineLevel="0" collapsed="false">
      <c r="B15" s="62" t="s">
        <v>174</v>
      </c>
      <c r="D15" s="78" t="s">
        <v>175</v>
      </c>
    </row>
    <row r="16" customFormat="false" ht="18" hidden="false" customHeight="true" outlineLevel="0" collapsed="false">
      <c r="B16" s="64" t="s">
        <v>176</v>
      </c>
      <c r="D16" s="78" t="s">
        <v>177</v>
      </c>
    </row>
    <row r="17" customFormat="false" ht="18" hidden="false" customHeight="true" outlineLevel="0" collapsed="false">
      <c r="B17" s="68" t="s">
        <v>178</v>
      </c>
      <c r="D17" s="78" t="s">
        <v>179</v>
      </c>
    </row>
    <row r="20" customFormat="false" ht="25.5" hidden="false" customHeight="true" outlineLevel="0" collapsed="false">
      <c r="B20" s="79" t="s">
        <v>180</v>
      </c>
      <c r="C20" s="79"/>
      <c r="D20" s="79"/>
      <c r="E20" s="79"/>
      <c r="F20" s="79"/>
      <c r="G20" s="79"/>
      <c r="H20" s="79"/>
      <c r="I20" s="79"/>
      <c r="J20" s="79"/>
      <c r="K20" s="79"/>
    </row>
    <row r="21" customFormat="false" ht="21.75" hidden="false" customHeight="true" outlineLevel="0" collapsed="false">
      <c r="B21" s="71" t="s">
        <v>181</v>
      </c>
      <c r="C21" s="71"/>
      <c r="D21" s="23" t="s">
        <v>182</v>
      </c>
      <c r="E21" s="23" t="s">
        <v>183</v>
      </c>
      <c r="F21" s="23" t="s">
        <v>184</v>
      </c>
      <c r="G21" s="23" t="s">
        <v>185</v>
      </c>
      <c r="H21" s="23" t="s">
        <v>186</v>
      </c>
      <c r="I21" s="23" t="s">
        <v>187</v>
      </c>
    </row>
    <row r="22" customFormat="false" ht="15" hidden="false" customHeight="true" outlineLevel="0" collapsed="false">
      <c r="B22" s="71"/>
      <c r="C22" s="71"/>
    </row>
    <row r="23" customFormat="false" ht="21.75" hidden="false" customHeight="true" outlineLevel="0" collapsed="false">
      <c r="B23" s="72" t="s">
        <v>188</v>
      </c>
      <c r="C23" s="72"/>
      <c r="D23" s="76" t="n">
        <v>0.098</v>
      </c>
      <c r="E23" s="76" t="n">
        <v>0.112</v>
      </c>
      <c r="F23" s="76" t="n">
        <v>0.127</v>
      </c>
      <c r="G23" s="76" t="n">
        <v>0.142</v>
      </c>
      <c r="H23" s="75" t="n">
        <v>0.158</v>
      </c>
      <c r="I23" s="75" t="n">
        <v>0.174</v>
      </c>
    </row>
    <row r="24" customFormat="false" ht="21.75" hidden="false" customHeight="true" outlineLevel="0" collapsed="false">
      <c r="B24" s="72" t="s">
        <v>189</v>
      </c>
      <c r="C24" s="72"/>
      <c r="D24" s="76" t="n">
        <v>0.131</v>
      </c>
      <c r="E24" s="76" t="n">
        <v>0.146</v>
      </c>
      <c r="F24" s="75" t="n">
        <v>0.161</v>
      </c>
      <c r="G24" s="75" t="n">
        <v>0.177</v>
      </c>
      <c r="H24" s="75" t="n">
        <v>0.194</v>
      </c>
      <c r="I24" s="74" t="n">
        <v>0.211</v>
      </c>
    </row>
    <row r="25" customFormat="false" ht="21.75" hidden="false" customHeight="true" outlineLevel="0" collapsed="false">
      <c r="B25" s="72" t="s">
        <v>190</v>
      </c>
      <c r="C25" s="72"/>
      <c r="D25" s="75" t="n">
        <v>0.163</v>
      </c>
      <c r="E25" s="75" t="n">
        <v>0.178</v>
      </c>
      <c r="F25" s="75" t="n">
        <v>0.194</v>
      </c>
      <c r="G25" s="74" t="n">
        <v>0.211</v>
      </c>
      <c r="H25" s="74" t="n">
        <v>0.228</v>
      </c>
      <c r="I25" s="74" t="n">
        <v>0.246</v>
      </c>
    </row>
    <row r="26" customFormat="false" ht="21.75" hidden="false" customHeight="true" outlineLevel="0" collapsed="false">
      <c r="B26" s="72" t="s">
        <v>191</v>
      </c>
      <c r="C26" s="72"/>
      <c r="D26" s="75" t="n">
        <v>0.193</v>
      </c>
      <c r="E26" s="74" t="n">
        <v>0.209</v>
      </c>
      <c r="F26" s="74" t="n">
        <v>0.225</v>
      </c>
      <c r="G26" s="74" t="n">
        <v>0.242</v>
      </c>
      <c r="H26" s="73" t="n">
        <v>0.26</v>
      </c>
      <c r="I26" s="73" t="n">
        <v>0.278</v>
      </c>
    </row>
    <row r="27" customFormat="false" ht="21.75" hidden="false" customHeight="true" outlineLevel="0" collapsed="false">
      <c r="B27" s="72" t="s">
        <v>192</v>
      </c>
      <c r="C27" s="72"/>
      <c r="D27" s="74" t="n">
        <v>0.221</v>
      </c>
      <c r="E27" s="74" t="n">
        <v>0.238</v>
      </c>
      <c r="F27" s="73" t="n">
        <v>0.254</v>
      </c>
      <c r="G27" s="73" t="n">
        <v>0.272</v>
      </c>
      <c r="H27" s="73" t="n">
        <v>0.29</v>
      </c>
      <c r="I27" s="73" t="n">
        <v>0.309</v>
      </c>
    </row>
    <row r="28" customFormat="false" ht="21.75" hidden="false" customHeight="true" outlineLevel="0" collapsed="false">
      <c r="B28" s="72" t="s">
        <v>193</v>
      </c>
      <c r="C28" s="72"/>
      <c r="D28" s="74" t="n">
        <v>0.248</v>
      </c>
      <c r="E28" s="73" t="n">
        <v>0.265</v>
      </c>
      <c r="F28" s="73" t="n">
        <v>0.282</v>
      </c>
      <c r="G28" s="73" t="n">
        <v>0.3</v>
      </c>
      <c r="H28" s="73" t="n">
        <v>0.318</v>
      </c>
      <c r="I28" s="73" t="n">
        <v>0.337</v>
      </c>
    </row>
  </sheetData>
  <mergeCells count="24">
    <mergeCell ref="B1:K1"/>
    <mergeCell ref="B2:K2"/>
    <mergeCell ref="B4:C5"/>
    <mergeCell ref="D4:D5"/>
    <mergeCell ref="E4:E5"/>
    <mergeCell ref="F4:F5"/>
    <mergeCell ref="G4:G5"/>
    <mergeCell ref="H4:H5"/>
    <mergeCell ref="I4:I5"/>
    <mergeCell ref="B6:C6"/>
    <mergeCell ref="B7:C7"/>
    <mergeCell ref="B8:C8"/>
    <mergeCell ref="B9:C9"/>
    <mergeCell ref="B10:C10"/>
    <mergeCell ref="B11:C11"/>
    <mergeCell ref="B13:K13"/>
    <mergeCell ref="B20:K20"/>
    <mergeCell ref="B21:C22"/>
    <mergeCell ref="B23:C23"/>
    <mergeCell ref="B24:C24"/>
    <mergeCell ref="B25:C25"/>
    <mergeCell ref="B26:C26"/>
    <mergeCell ref="B27:C27"/>
    <mergeCell ref="B28:C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2026-04-22T11:45:21Z</dcterms:created>
  <dc:creator>openpyxl</dc:creator>
  <dc:description/>
  <dc:language>en-US</dc:language>
  <cp:lastModifiedBy/>
  <dcterms:modified xsi:type="dcterms:W3CDTF">2026-07-10T18:58:08Z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